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d6a088e269b744/excell/"/>
    </mc:Choice>
  </mc:AlternateContent>
  <xr:revisionPtr revIDLastSave="907" documentId="8_{6F4E0371-5815-4AA0-BC28-B0D10A8B493D}" xr6:coauthVersionLast="47" xr6:coauthVersionMax="47" xr10:uidLastSave="{F64F5D9E-B804-42D9-8DEA-26147D728936}"/>
  <bookViews>
    <workbookView xWindow="-108" yWindow="-108" windowWidth="23256" windowHeight="12456" activeTab="3" xr2:uid="{BFC97FFE-3486-4847-8C31-046FCFB6DA8A}"/>
  </bookViews>
  <sheets>
    <sheet name="cases" sheetId="5" r:id="rId1"/>
    <sheet name="population" sheetId="6" r:id="rId2"/>
    <sheet name="ACTIVE" sheetId="7" r:id="rId3"/>
    <sheet name="DashBoard" sheetId="8" r:id="rId4"/>
    <sheet name="DATA" sheetId="1" r:id="rId5"/>
  </sheets>
  <calcPr calcId="191029"/>
  <pivotCaches>
    <pivotCache cacheId="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9" i="1" l="1"/>
  <c r="I39" i="1"/>
  <c r="J39" i="1"/>
  <c r="G39" i="1"/>
</calcChain>
</file>

<file path=xl/sharedStrings.xml><?xml version="1.0" encoding="utf-8"?>
<sst xmlns="http://schemas.openxmlformats.org/spreadsheetml/2006/main" count="376" uniqueCount="69">
  <si>
    <t>State/UT</t>
  </si>
  <si>
    <t>Confirmed Cases</t>
  </si>
  <si>
    <t>Active Cases</t>
  </si>
  <si>
    <t>Cured/Discharged</t>
  </si>
  <si>
    <t>Death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</si>
  <si>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</si>
  <si>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</si>
  <si>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</si>
  <si>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</si>
  <si>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</si>
  <si>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</si>
  <si>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</si>
  <si>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Dadra and Nagar Haveli and 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</si>
  <si>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</si>
  <si>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</si>
  <si>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</si>
  <si>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</si>
  <si>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</si>
  <si>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</si>
  <si>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</si>
  <si>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</si>
  <si>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</si>
  <si>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</si>
  <si>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</si>
  <si>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</si>
  <si>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</si>
  <si>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</si>
  <si>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</si>
  <si>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</si>
  <si>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</si>
  <si>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</si>
  <si>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</si>
  <si>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</si>
  <si>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</si>
  <si>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</si>
  <si>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</si>
  <si>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</si>
  <si>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</si>
  <si>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</si>
  <si>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</si>
  <si>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</si>
  <si>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South</t>
  </si>
  <si>
    <t>East</t>
  </si>
  <si>
    <t>North</t>
  </si>
  <si>
    <t>West</t>
  </si>
  <si>
    <t>Zone</t>
  </si>
  <si>
    <t>Population</t>
  </si>
  <si>
    <t>Vaccine Dose-1</t>
  </si>
  <si>
    <t>Vaccine Dose-2</t>
  </si>
  <si>
    <t>Total Vaccinated</t>
  </si>
  <si>
    <t>Total</t>
  </si>
  <si>
    <t>Row Labels</t>
  </si>
  <si>
    <t>(blank)</t>
  </si>
  <si>
    <t>Grand Total</t>
  </si>
  <si>
    <t>Sum of Active Cases</t>
  </si>
  <si>
    <t>Sum of Cured/Discharged</t>
  </si>
  <si>
    <t>Sum of Death</t>
  </si>
  <si>
    <t>Sum of Population</t>
  </si>
  <si>
    <t>Sum of Total Vaccinated</t>
  </si>
  <si>
    <t>state</t>
  </si>
  <si>
    <t>population</t>
  </si>
  <si>
    <t>Total Cases  43452164</t>
  </si>
  <si>
    <t>Active 104555</t>
  </si>
  <si>
    <t>Recovered 42822493</t>
  </si>
  <si>
    <t>Death 525116</t>
  </si>
  <si>
    <t>Graph Showing State Wise Cases</t>
  </si>
  <si>
    <t>Graph Showing Zone Wise Cases</t>
  </si>
  <si>
    <t>Graph Showing Total Vaccinated cases</t>
  </si>
  <si>
    <t>Graph Showing Comparison Between Active and Death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</si>
</sst>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8"/>
      <color theme="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/>
    <xf numFmtId="0" fontId="5" fillId="3" borderId="0" xfId="0" applyFont="1" applyFill="1"/>
    <xf numFmtId="0" fontId="0" fillId="3" borderId="0" xfId="0" applyFill="1"/>
    <xf numFmtId="0" fontId="4" fillId="3" borderId="0" xfId="0" applyFont="1" applyFill="1"/>
  </cellXfs>
  <cellStyles count="2">
    <cellStyle name="Comma 2" xfId="1" xr:uid="{C6489462-285A-4494-9A78-0A928AC7466B}"/>
    <cellStyle name="Normal" xfId="0" builtinId="0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[project2.o.xlsx]cases!PivotTable4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Active Cases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cases!$B$3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cases!$A$4:$A$41</c:f>
              <c:strCache>
                <c:ptCount val="37"/>
                <c:pt idx="0">
                  <c:v>Kerala</c:v>
                </c:pt>
                <c:pt idx="1">
                  <c:v>Maharashtra</c:v>
                </c:pt>
                <c:pt idx="2">
                  <c:v>Tamil Nadu</c:v>
                </c:pt>
                <c:pt idx="3">
                  <c:v>West Bengal</c:v>
                </c:pt>
                <c:pt idx="4">
                  <c:v>Karnataka</c:v>
                </c:pt>
                <c:pt idx="5">
                  <c:v>Telangana</c:v>
                </c:pt>
                <c:pt idx="6">
                  <c:v>Delhi</c:v>
                </c:pt>
                <c:pt idx="7">
                  <c:v>Uttar Pradesh</c:v>
                </c:pt>
                <c:pt idx="8">
                  <c:v>Gujarat</c:v>
                </c:pt>
                <c:pt idx="9">
                  <c:v>Haryana</c:v>
                </c:pt>
                <c:pt idx="10">
                  <c:v>Punjab</c:v>
                </c:pt>
                <c:pt idx="11">
                  <c:v>Goa</c:v>
                </c:pt>
                <c:pt idx="12">
                  <c:v>Rajasthan</c:v>
                </c:pt>
                <c:pt idx="13">
                  <c:v>Bihar</c:v>
                </c:pt>
                <c:pt idx="14">
                  <c:v>Chhattisgarh</c:v>
                </c:pt>
                <c:pt idx="15">
                  <c:v>Uttarakhand</c:v>
                </c:pt>
                <c:pt idx="16">
                  <c:v>Andhra Pradesh</c:v>
                </c:pt>
                <c:pt idx="17">
                  <c:v>Odisha</c:v>
                </c:pt>
                <c:pt idx="18">
                  <c:v>Chandigarh</c:v>
                </c:pt>
                <c:pt idx="19">
                  <c:v>Himachal Pradesh</c:v>
                </c:pt>
                <c:pt idx="20">
                  <c:v>Madhya Pradesh</c:v>
                </c:pt>
                <c:pt idx="21">
                  <c:v>Jammu and Kashmir</c:v>
                </c:pt>
                <c:pt idx="22">
                  <c:v>Assam</c:v>
                </c:pt>
                <c:pt idx="23">
                  <c:v>Puducherry</c:v>
                </c:pt>
                <c:pt idx="24">
                  <c:v>Jharkhand</c:v>
                </c:pt>
                <c:pt idx="25">
                  <c:v>Mizoram</c:v>
                </c:pt>
                <c:pt idx="26">
                  <c:v>Ladakh</c:v>
                </c:pt>
                <c:pt idx="27">
                  <c:v>Meghalaya</c:v>
                </c:pt>
                <c:pt idx="28">
                  <c:v>Andaman and Nicobar Islands</c:v>
                </c:pt>
                <c:pt idx="29">
                  <c:v>Sikkim</c:v>
                </c:pt>
                <c:pt idx="30">
                  <c:v>Manipur</c:v>
                </c:pt>
                <c:pt idx="31">
                  <c:v>Dadra and Nagar Haveli and Daman and Diu</c:v>
                </c:pt>
                <c:pt idx="32">
                  <c:v>Tripura</c:v>
                </c:pt>
                <c:pt idx="33">
                  <c:v>Arunachal Pradesh</c:v>
                </c:pt>
                <c:pt idx="34">
                  <c:v>Lakshadweep</c:v>
                </c:pt>
                <c:pt idx="35">
                  <c:v>Nagaland</c:v>
                </c:pt>
                <c:pt idx="36">
                  <c:v>(blank)</c:v>
                </c:pt>
              </c:strCache>
            </c:strRef>
          </c:cat>
          <c:val>
            <c:numRef>
              <c:f>cases!$B$4:$B$41</c:f>
              <c:numCache>
                <c:formatCode>General</c:formatCode>
                <c:ptCount val="37"/>
                <c:pt idx="0">
                  <c:v>28860</c:v>
                </c:pt>
                <c:pt idx="1">
                  <c:v>25735</c:v>
                </c:pt>
                <c:pt idx="2">
                  <c:v>10033</c:v>
                </c:pt>
                <c:pt idx="3">
                  <c:v>5885</c:v>
                </c:pt>
                <c:pt idx="4">
                  <c:v>5707</c:v>
                </c:pt>
                <c:pt idx="5">
                  <c:v>4421</c:v>
                </c:pt>
                <c:pt idx="6">
                  <c:v>4325</c:v>
                </c:pt>
                <c:pt idx="7">
                  <c:v>3541</c:v>
                </c:pt>
                <c:pt idx="8">
                  <c:v>2914</c:v>
                </c:pt>
                <c:pt idx="9">
                  <c:v>2655</c:v>
                </c:pt>
                <c:pt idx="10">
                  <c:v>1079</c:v>
                </c:pt>
                <c:pt idx="11">
                  <c:v>982</c:v>
                </c:pt>
                <c:pt idx="12">
                  <c:v>939</c:v>
                </c:pt>
                <c:pt idx="13">
                  <c:v>934</c:v>
                </c:pt>
                <c:pt idx="14">
                  <c:v>861</c:v>
                </c:pt>
                <c:pt idx="15">
                  <c:v>787</c:v>
                </c:pt>
                <c:pt idx="16">
                  <c:v>755</c:v>
                </c:pt>
                <c:pt idx="17">
                  <c:v>627</c:v>
                </c:pt>
                <c:pt idx="18">
                  <c:v>568</c:v>
                </c:pt>
                <c:pt idx="19">
                  <c:v>507</c:v>
                </c:pt>
                <c:pt idx="20">
                  <c:v>490</c:v>
                </c:pt>
                <c:pt idx="21">
                  <c:v>447</c:v>
                </c:pt>
                <c:pt idx="22">
                  <c:v>395</c:v>
                </c:pt>
                <c:pt idx="23">
                  <c:v>304</c:v>
                </c:pt>
                <c:pt idx="24">
                  <c:v>284</c:v>
                </c:pt>
                <c:pt idx="25">
                  <c:v>261</c:v>
                </c:pt>
                <c:pt idx="26">
                  <c:v>78</c:v>
                </c:pt>
                <c:pt idx="27">
                  <c:v>65</c:v>
                </c:pt>
                <c:pt idx="28">
                  <c:v>42</c:v>
                </c:pt>
                <c:pt idx="29">
                  <c:v>26</c:v>
                </c:pt>
                <c:pt idx="30">
                  <c:v>18</c:v>
                </c:pt>
                <c:pt idx="31">
                  <c:v>14</c:v>
                </c:pt>
                <c:pt idx="32">
                  <c:v>7</c:v>
                </c:pt>
                <c:pt idx="33">
                  <c:v>4</c:v>
                </c:pt>
                <c:pt idx="34">
                  <c:v>3</c:v>
                </c:pt>
                <c:pt idx="3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27-40F7-A64B-66958F181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91314447"/>
        <c:axId val="291315407"/>
      </c:barChart>
      <c:catAx>
        <c:axId val="291314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States/UTS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315407"/>
        <c:crosses val="autoZero"/>
        <c:auto val="1"/>
        <c:lblAlgn val="ctr"/>
        <c:lblOffset val="100"/>
        <c:noMultiLvlLbl val="0"/>
      </c:catAx>
      <c:valAx>
        <c:axId val="2913154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31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[project2.o.xlsx]cases!PivotTable5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Discharged cases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cases!$E$3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cases!$D$4:$D$41</c:f>
              <c:strCache>
                <c:ptCount val="37"/>
                <c:pt idx="0">
                  <c:v>Maharashtra</c:v>
                </c:pt>
                <c:pt idx="1">
                  <c:v>Kerala</c:v>
                </c:pt>
                <c:pt idx="2">
                  <c:v>Karnataka</c:v>
                </c:pt>
                <c:pt idx="3">
                  <c:v>Tamil Nadu</c:v>
                </c:pt>
                <c:pt idx="4">
                  <c:v>Andhra Pradesh</c:v>
                </c:pt>
                <c:pt idx="5">
                  <c:v>Uttar Pradesh</c:v>
                </c:pt>
                <c:pt idx="6">
                  <c:v>West Bengal</c:v>
                </c:pt>
                <c:pt idx="7">
                  <c:v>Delhi</c:v>
                </c:pt>
                <c:pt idx="8">
                  <c:v>Odisha</c:v>
                </c:pt>
                <c:pt idx="9">
                  <c:v>Rajasthan</c:v>
                </c:pt>
                <c:pt idx="10">
                  <c:v>Gujarat</c:v>
                </c:pt>
                <c:pt idx="11">
                  <c:v>Chhattisgarh</c:v>
                </c:pt>
                <c:pt idx="12">
                  <c:v>Madhya Pradesh</c:v>
                </c:pt>
                <c:pt idx="13">
                  <c:v>Haryana</c:v>
                </c:pt>
                <c:pt idx="14">
                  <c:v>Bihar</c:v>
                </c:pt>
                <c:pt idx="15">
                  <c:v>Telangana</c:v>
                </c:pt>
                <c:pt idx="16">
                  <c:v>Punjab</c:v>
                </c:pt>
                <c:pt idx="17">
                  <c:v>Assam</c:v>
                </c:pt>
                <c:pt idx="18">
                  <c:v>Jammu and Kashmir</c:v>
                </c:pt>
                <c:pt idx="19">
                  <c:v>Jharkhand</c:v>
                </c:pt>
                <c:pt idx="20">
                  <c:v>Uttarakhand</c:v>
                </c:pt>
                <c:pt idx="21">
                  <c:v>Himachal Pradesh</c:v>
                </c:pt>
                <c:pt idx="22">
                  <c:v>Goa</c:v>
                </c:pt>
                <c:pt idx="23">
                  <c:v>Mizoram</c:v>
                </c:pt>
                <c:pt idx="24">
                  <c:v>Puducherry</c:v>
                </c:pt>
                <c:pt idx="25">
                  <c:v>Manipur</c:v>
                </c:pt>
                <c:pt idx="26">
                  <c:v>Tripura</c:v>
                </c:pt>
                <c:pt idx="27">
                  <c:v>Meghalaya</c:v>
                </c:pt>
                <c:pt idx="28">
                  <c:v>Chandigarh</c:v>
                </c:pt>
                <c:pt idx="29">
                  <c:v>Arunachal Pradesh</c:v>
                </c:pt>
                <c:pt idx="30">
                  <c:v>Sikkim</c:v>
                </c:pt>
                <c:pt idx="31">
                  <c:v>Nagaland</c:v>
                </c:pt>
                <c:pt idx="32">
                  <c:v>Ladakh</c:v>
                </c:pt>
                <c:pt idx="33">
                  <c:v>Dadra and Nagar Haveli and Daman and Diu</c:v>
                </c:pt>
                <c:pt idx="34">
                  <c:v>Lakshadweep</c:v>
                </c:pt>
                <c:pt idx="35">
                  <c:v>Andaman and Nicobar Islands</c:v>
                </c:pt>
                <c:pt idx="36">
                  <c:v>(blank)</c:v>
                </c:pt>
              </c:strCache>
            </c:strRef>
          </c:cat>
          <c:val>
            <c:numRef>
              <c:f>cases!$E$4:$E$41</c:f>
              <c:numCache>
                <c:formatCode>General</c:formatCode>
                <c:ptCount val="37"/>
                <c:pt idx="0">
                  <c:v>7798817</c:v>
                </c:pt>
                <c:pt idx="1">
                  <c:v>6535869</c:v>
                </c:pt>
                <c:pt idx="2">
                  <c:v>3922541</c:v>
                </c:pt>
                <c:pt idx="3">
                  <c:v>3425057</c:v>
                </c:pt>
                <c:pt idx="4">
                  <c:v>2305893</c:v>
                </c:pt>
                <c:pt idx="5">
                  <c:v>2062971</c:v>
                </c:pt>
                <c:pt idx="6">
                  <c:v>2000798</c:v>
                </c:pt>
                <c:pt idx="7">
                  <c:v>1903423</c:v>
                </c:pt>
                <c:pt idx="8">
                  <c:v>1279849</c:v>
                </c:pt>
                <c:pt idx="9">
                  <c:v>1277825</c:v>
                </c:pt>
                <c:pt idx="10">
                  <c:v>1217623</c:v>
                </c:pt>
                <c:pt idx="11">
                  <c:v>1139282</c:v>
                </c:pt>
                <c:pt idx="12">
                  <c:v>1033012</c:v>
                </c:pt>
                <c:pt idx="13">
                  <c:v>1002222</c:v>
                </c:pt>
                <c:pt idx="14">
                  <c:v>819388</c:v>
                </c:pt>
                <c:pt idx="15">
                  <c:v>791944</c:v>
                </c:pt>
                <c:pt idx="16">
                  <c:v>743903</c:v>
                </c:pt>
                <c:pt idx="17">
                  <c:v>716405</c:v>
                </c:pt>
                <c:pt idx="18">
                  <c:v>449803</c:v>
                </c:pt>
                <c:pt idx="19">
                  <c:v>430254</c:v>
                </c:pt>
                <c:pt idx="20">
                  <c:v>430180</c:v>
                </c:pt>
                <c:pt idx="21">
                  <c:v>281413</c:v>
                </c:pt>
                <c:pt idx="22">
                  <c:v>243720</c:v>
                </c:pt>
                <c:pt idx="23">
                  <c:v>228084</c:v>
                </c:pt>
                <c:pt idx="24">
                  <c:v>164172</c:v>
                </c:pt>
                <c:pt idx="25">
                  <c:v>135128</c:v>
                </c:pt>
                <c:pt idx="26">
                  <c:v>99971</c:v>
                </c:pt>
                <c:pt idx="27">
                  <c:v>92288</c:v>
                </c:pt>
                <c:pt idx="28">
                  <c:v>92052</c:v>
                </c:pt>
                <c:pt idx="29">
                  <c:v>64218</c:v>
                </c:pt>
                <c:pt idx="30">
                  <c:v>38744</c:v>
                </c:pt>
                <c:pt idx="31">
                  <c:v>34744</c:v>
                </c:pt>
                <c:pt idx="32">
                  <c:v>28105</c:v>
                </c:pt>
                <c:pt idx="33">
                  <c:v>11456</c:v>
                </c:pt>
                <c:pt idx="34">
                  <c:v>11353</c:v>
                </c:pt>
                <c:pt idx="35">
                  <c:v>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4D-43D6-BF6D-CA51AFAEC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91281327"/>
        <c:axId val="291274607"/>
      </c:barChart>
      <c:catAx>
        <c:axId val="291281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States/Uts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274607"/>
        <c:crosses val="autoZero"/>
        <c:auto val="1"/>
        <c:lblAlgn val="ctr"/>
        <c:lblOffset val="100"/>
        <c:noMultiLvlLbl val="0"/>
      </c:catAx>
      <c:valAx>
        <c:axId val="2912746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Cured/Discharged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244766331291921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281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[project2.o.xlsx]cases!PivotTable6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Death Cases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cases!$I$3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cases!$H$4:$H$41</c:f>
              <c:strCache>
                <c:ptCount val="37"/>
                <c:pt idx="0">
                  <c:v>Maharashtra</c:v>
                </c:pt>
                <c:pt idx="1">
                  <c:v>Kerala</c:v>
                </c:pt>
                <c:pt idx="2">
                  <c:v>Karnataka</c:v>
                </c:pt>
                <c:pt idx="3">
                  <c:v>Tamil Nadu</c:v>
                </c:pt>
                <c:pt idx="4">
                  <c:v>Delhi</c:v>
                </c:pt>
                <c:pt idx="5">
                  <c:v>Uttar Pradesh</c:v>
                </c:pt>
                <c:pt idx="6">
                  <c:v>West Bengal</c:v>
                </c:pt>
                <c:pt idx="7">
                  <c:v>Punjab</c:v>
                </c:pt>
                <c:pt idx="8">
                  <c:v>Andhra Pradesh</c:v>
                </c:pt>
                <c:pt idx="9">
                  <c:v>Chhattisgarh</c:v>
                </c:pt>
                <c:pt idx="10">
                  <c:v>Bihar</c:v>
                </c:pt>
                <c:pt idx="11">
                  <c:v>Gujarat</c:v>
                </c:pt>
                <c:pt idx="12">
                  <c:v>Madhya Pradesh</c:v>
                </c:pt>
                <c:pt idx="13">
                  <c:v>Haryana</c:v>
                </c:pt>
                <c:pt idx="14">
                  <c:v>Rajasthan</c:v>
                </c:pt>
                <c:pt idx="15">
                  <c:v>Odisha</c:v>
                </c:pt>
                <c:pt idx="16">
                  <c:v>Assam</c:v>
                </c:pt>
                <c:pt idx="17">
                  <c:v>Uttarakhand</c:v>
                </c:pt>
                <c:pt idx="18">
                  <c:v>Jharkhand</c:v>
                </c:pt>
                <c:pt idx="19">
                  <c:v>Jammu and Kashmir</c:v>
                </c:pt>
                <c:pt idx="20">
                  <c:v>Himachal Pradesh</c:v>
                </c:pt>
                <c:pt idx="21">
                  <c:v>Telangana</c:v>
                </c:pt>
                <c:pt idx="22">
                  <c:v>Goa</c:v>
                </c:pt>
                <c:pt idx="23">
                  <c:v>Manipur</c:v>
                </c:pt>
                <c:pt idx="24">
                  <c:v>Puducherry</c:v>
                </c:pt>
                <c:pt idx="25">
                  <c:v>Meghalaya</c:v>
                </c:pt>
                <c:pt idx="26">
                  <c:v>Chandigarh</c:v>
                </c:pt>
                <c:pt idx="27">
                  <c:v>Tripura</c:v>
                </c:pt>
                <c:pt idx="28">
                  <c:v>Nagaland</c:v>
                </c:pt>
                <c:pt idx="29">
                  <c:v>Mizoram</c:v>
                </c:pt>
                <c:pt idx="30">
                  <c:v>Sikkim</c:v>
                </c:pt>
                <c:pt idx="31">
                  <c:v>Arunachal Pradesh</c:v>
                </c:pt>
                <c:pt idx="32">
                  <c:v>Ladakh</c:v>
                </c:pt>
                <c:pt idx="33">
                  <c:v>Andaman and Nicobar Islands</c:v>
                </c:pt>
                <c:pt idx="34">
                  <c:v>Lakshadweep</c:v>
                </c:pt>
                <c:pt idx="35">
                  <c:v>Dadra and Nagar Haveli and Daman and Diu</c:v>
                </c:pt>
                <c:pt idx="36">
                  <c:v>(blank)</c:v>
                </c:pt>
              </c:strCache>
            </c:strRef>
          </c:cat>
          <c:val>
            <c:numRef>
              <c:f>cases!$I$4:$I$41</c:f>
              <c:numCache>
                <c:formatCode>General</c:formatCode>
                <c:ptCount val="37"/>
                <c:pt idx="0">
                  <c:v>147922</c:v>
                </c:pt>
                <c:pt idx="1">
                  <c:v>69993</c:v>
                </c:pt>
                <c:pt idx="2">
                  <c:v>40117</c:v>
                </c:pt>
                <c:pt idx="3">
                  <c:v>38026</c:v>
                </c:pt>
                <c:pt idx="4">
                  <c:v>26261</c:v>
                </c:pt>
                <c:pt idx="5">
                  <c:v>23538</c:v>
                </c:pt>
                <c:pt idx="6">
                  <c:v>21218</c:v>
                </c:pt>
                <c:pt idx="7">
                  <c:v>17773</c:v>
                </c:pt>
                <c:pt idx="8">
                  <c:v>14731</c:v>
                </c:pt>
                <c:pt idx="9">
                  <c:v>14036</c:v>
                </c:pt>
                <c:pt idx="10">
                  <c:v>12259</c:v>
                </c:pt>
                <c:pt idx="11">
                  <c:v>10946</c:v>
                </c:pt>
                <c:pt idx="12">
                  <c:v>10741</c:v>
                </c:pt>
                <c:pt idx="13">
                  <c:v>10624</c:v>
                </c:pt>
                <c:pt idx="14">
                  <c:v>9564</c:v>
                </c:pt>
                <c:pt idx="15">
                  <c:v>9126</c:v>
                </c:pt>
                <c:pt idx="16">
                  <c:v>7988</c:v>
                </c:pt>
                <c:pt idx="17">
                  <c:v>7696</c:v>
                </c:pt>
                <c:pt idx="18">
                  <c:v>5320</c:v>
                </c:pt>
                <c:pt idx="19">
                  <c:v>4756</c:v>
                </c:pt>
                <c:pt idx="20">
                  <c:v>4141</c:v>
                </c:pt>
                <c:pt idx="21">
                  <c:v>4111</c:v>
                </c:pt>
                <c:pt idx="22">
                  <c:v>3838</c:v>
                </c:pt>
                <c:pt idx="23">
                  <c:v>2120</c:v>
                </c:pt>
                <c:pt idx="24">
                  <c:v>1962</c:v>
                </c:pt>
                <c:pt idx="25">
                  <c:v>1594</c:v>
                </c:pt>
                <c:pt idx="26">
                  <c:v>1165</c:v>
                </c:pt>
                <c:pt idx="27">
                  <c:v>923</c:v>
                </c:pt>
                <c:pt idx="28">
                  <c:v>761</c:v>
                </c:pt>
                <c:pt idx="29">
                  <c:v>703</c:v>
                </c:pt>
                <c:pt idx="30">
                  <c:v>454</c:v>
                </c:pt>
                <c:pt idx="31">
                  <c:v>296</c:v>
                </c:pt>
                <c:pt idx="32">
                  <c:v>228</c:v>
                </c:pt>
                <c:pt idx="33">
                  <c:v>129</c:v>
                </c:pt>
                <c:pt idx="34">
                  <c:v>52</c:v>
                </c:pt>
                <c:pt idx="3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4A-40A6-B315-65F977DB6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13835775"/>
        <c:axId val="1013837695"/>
      </c:barChart>
      <c:catAx>
        <c:axId val="1013835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STATES/UTS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837695"/>
        <c:crosses val="autoZero"/>
        <c:auto val="1"/>
        <c:lblAlgn val="ctr"/>
        <c:lblOffset val="100"/>
        <c:noMultiLvlLbl val="0"/>
      </c:catAx>
      <c:valAx>
        <c:axId val="10138376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835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[project2.o.xlsx]cases!PivotTable7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Zone-wise Active Cases</a:t>
            </a:r>
          </a:p>
        </c:rich>
      </c:tx>
      <c:layout>
        <c:manualLayout>
          <c:xMode val="edge"/>
          <c:yMode val="edge"/>
          <c:x val="0.48288547664747283"/>
          <c:y val="0.124682690525753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cases!$B$48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DD7-4A06-B091-B2C7F3CB85A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DD7-4A06-B091-B2C7F3CB85A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DD7-4A06-B091-B2C7F3CB85A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DD7-4A06-B091-B2C7F3CB85A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DD7-4A06-B091-B2C7F3CB85A4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cases!$A$49:$A$54</c:f>
              <c:strCache>
                <c:ptCount val="5"/>
                <c:pt idx="0">
                  <c:v>South</c:v>
                </c:pt>
                <c:pt idx="1">
                  <c:v>West</c:v>
                </c:pt>
                <c:pt idx="2">
                  <c:v>North</c:v>
                </c:pt>
                <c:pt idx="3">
                  <c:v>East</c:v>
                </c:pt>
                <c:pt idx="4">
                  <c:v>(blank)</c:v>
                </c:pt>
              </c:strCache>
            </c:strRef>
          </c:cat>
          <c:val>
            <c:numRef>
              <c:f>cases!$B$49:$B$54</c:f>
              <c:numCache>
                <c:formatCode>General</c:formatCode>
                <c:ptCount val="5"/>
                <c:pt idx="0">
                  <c:v>50125</c:v>
                </c:pt>
                <c:pt idx="1">
                  <c:v>31074</c:v>
                </c:pt>
                <c:pt idx="2">
                  <c:v>13987</c:v>
                </c:pt>
                <c:pt idx="3">
                  <c:v>9369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57-4863-8CB8-261ADDD00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[project2.o.xlsx]cases!PivotTable8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Zone-wise Cured cases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cases!$E$48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35-4C63-9F6C-AC5375F646D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35-4C63-9F6C-AC5375F646D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235-4C63-9F6C-AC5375F646D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235-4C63-9F6C-AC5375F646D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235-4C63-9F6C-AC5375F646DC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cases!$D$49:$D$54</c:f>
              <c:strCache>
                <c:ptCount val="5"/>
                <c:pt idx="0">
                  <c:v>South</c:v>
                </c:pt>
                <c:pt idx="1">
                  <c:v>West</c:v>
                </c:pt>
                <c:pt idx="2">
                  <c:v>East</c:v>
                </c:pt>
                <c:pt idx="3">
                  <c:v>North</c:v>
                </c:pt>
                <c:pt idx="4">
                  <c:v>(blank)</c:v>
                </c:pt>
              </c:strCache>
            </c:strRef>
          </c:cat>
          <c:val>
            <c:numRef>
              <c:f>cases!$E$49:$E$54</c:f>
              <c:numCache>
                <c:formatCode>General</c:formatCode>
                <c:ptCount val="5"/>
                <c:pt idx="0">
                  <c:v>17166815</c:v>
                </c:pt>
                <c:pt idx="1">
                  <c:v>11582453</c:v>
                </c:pt>
                <c:pt idx="2">
                  <c:v>7079153</c:v>
                </c:pt>
                <c:pt idx="3">
                  <c:v>6994072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5A-4388-B7CD-265890E3A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[project2.o.xlsx]cases!PivotTable9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Zone-wise Death cases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cases!$I$48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13B-45EF-A4FC-E4776C7E6DC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13B-45EF-A4FC-E4776C7E6DC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13B-45EF-A4FC-E4776C7E6DC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13B-45EF-A4FC-E4776C7E6DC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13B-45EF-A4FC-E4776C7E6DC8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cases!$H$49:$H$54</c:f>
              <c:strCache>
                <c:ptCount val="5"/>
                <c:pt idx="0">
                  <c:v>West</c:v>
                </c:pt>
                <c:pt idx="1">
                  <c:v>South</c:v>
                </c:pt>
                <c:pt idx="2">
                  <c:v>North</c:v>
                </c:pt>
                <c:pt idx="3">
                  <c:v>East</c:v>
                </c:pt>
                <c:pt idx="4">
                  <c:v>(blank)</c:v>
                </c:pt>
              </c:strCache>
            </c:strRef>
          </c:cat>
          <c:val>
            <c:numRef>
              <c:f>cases!$I$49:$I$54</c:f>
              <c:numCache>
                <c:formatCode>General</c:formatCode>
                <c:ptCount val="5"/>
                <c:pt idx="0">
                  <c:v>183015</c:v>
                </c:pt>
                <c:pt idx="1">
                  <c:v>169121</c:v>
                </c:pt>
                <c:pt idx="2">
                  <c:v>96182</c:v>
                </c:pt>
                <c:pt idx="3">
                  <c:v>76798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52-440C-9C87-B6C1077FA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 most populated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1657944597416121"/>
          <c:y val="0.1784030784030784"/>
          <c:w val="0.59303200596857908"/>
          <c:h val="0.608401601314987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population!$E$2</c:f>
              <c:strCache>
                <c:ptCount val="1"/>
                <c:pt idx="0">
                  <c:v>population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population!$D$3:$D$7</c:f>
              <c:strCache>
                <c:ptCount val="5"/>
                <c:pt idx="0">
                  <c:v>Uttar Pradesh</c:v>
                </c:pt>
                <c:pt idx="1">
                  <c:v>Bihar</c:v>
                </c:pt>
                <c:pt idx="2">
                  <c:v>Maharashtra</c:v>
                </c:pt>
                <c:pt idx="3">
                  <c:v>West Bengal</c:v>
                </c:pt>
                <c:pt idx="4">
                  <c:v>Andhra Pradesh</c:v>
                </c:pt>
              </c:strCache>
            </c:strRef>
          </c:cat>
          <c:val>
            <c:numRef>
              <c:f>population!$E$3:$E$7</c:f>
              <c:numCache>
                <c:formatCode>General</c:formatCode>
                <c:ptCount val="5"/>
                <c:pt idx="0">
                  <c:v>231502578</c:v>
                </c:pt>
                <c:pt idx="1">
                  <c:v>128500364</c:v>
                </c:pt>
                <c:pt idx="2">
                  <c:v>124904071</c:v>
                </c:pt>
                <c:pt idx="3">
                  <c:v>100896618</c:v>
                </c:pt>
                <c:pt idx="4">
                  <c:v>91702478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67-4BAB-8245-A74979482CD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9318272"/>
        <c:axId val="1939302432"/>
      </c:barChart>
      <c:catAx>
        <c:axId val="19393182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302432"/>
        <c:crosses val="autoZero"/>
        <c:auto val="1"/>
        <c:lblAlgn val="ctr"/>
        <c:lblOffset val="100"/>
        <c:noMultiLvlLbl val="0"/>
      </c:catAx>
      <c:valAx>
        <c:axId val="193930243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939318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least populated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population!$D$9:$D$13</c:f>
              <c:strCache>
                <c:ptCount val="5"/>
                <c:pt idx="0">
                  <c:v>Dadra and Nagar Haveli and Daman and Diu</c:v>
                </c:pt>
                <c:pt idx="1">
                  <c:v>Sikkim</c:v>
                </c:pt>
                <c:pt idx="2">
                  <c:v>Andaman and Nicobar Islands</c:v>
                </c:pt>
                <c:pt idx="3">
                  <c:v>Ladakh</c:v>
                </c:pt>
                <c:pt idx="4">
                  <c:v>Lakshadweep</c:v>
                </c:pt>
              </c:strCache>
            </c:strRef>
          </c:cat>
          <c:val>
            <c:numRef>
              <c:f>population!$E$9:$E$13</c:f>
              <c:numCache>
                <c:formatCode>General</c:formatCode>
                <c:ptCount val="5"/>
                <c:pt idx="0">
                  <c:v>773997</c:v>
                </c:pt>
                <c:pt idx="1">
                  <c:v>658019</c:v>
                </c:pt>
                <c:pt idx="2">
                  <c:v>399001</c:v>
                </c:pt>
                <c:pt idx="3">
                  <c:v>290492</c:v>
                </c:pt>
                <c:pt idx="4">
                  <c:v>66001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4-4A4A-AF72-285994EDE5F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9396512"/>
        <c:axId val="1939404672"/>
      </c:barChart>
      <c:catAx>
        <c:axId val="19393965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404672"/>
        <c:crosses val="autoZero"/>
        <c:auto val="1"/>
        <c:lblAlgn val="ctr"/>
        <c:lblOffset val="100"/>
        <c:noMultiLvlLbl val="0"/>
      </c:catAx>
      <c:valAx>
        <c:axId val="193940467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939396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[project2.o.xlsx]population!PivotTable2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2">
                    <a:lumMod val="10000"/>
                  </a:schemeClr>
                </a:solidFill>
              </a:rPr>
              <a:t>Zone</a:t>
            </a:r>
            <a:r>
              <a:rPr lang="en-US" b="1" baseline="0">
                <a:solidFill>
                  <a:schemeClr val="bg2">
                    <a:lumMod val="10000"/>
                  </a:schemeClr>
                </a:solidFill>
              </a:rPr>
              <a:t> -Wise Population</a:t>
            </a:r>
            <a:endParaRPr lang="en-US" b="1">
              <a:solidFill>
                <a:schemeClr val="bg2">
                  <a:lumMod val="1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population!$B$44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6B-4803-98C1-AE55A26D41F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6B-4803-98C1-AE55A26D41F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D6B-4803-98C1-AE55A26D41F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D6B-4803-98C1-AE55A26D41F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D6B-4803-98C1-AE55A26D41FE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population!$A$45:$A$50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population!$B$45:$B$50</c:f>
              <c:numCache>
                <c:formatCode>General</c:formatCode>
                <c:ptCount val="5"/>
                <c:pt idx="0">
                  <c:v>401941119</c:v>
                </c:pt>
                <c:pt idx="1">
                  <c:v>345856405</c:v>
                </c:pt>
                <c:pt idx="2">
                  <c:v>319967249</c:v>
                </c:pt>
                <c:pt idx="3">
                  <c:v>362105107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F7-45DD-8CDF-25982B9F2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[project2.o.xlsx]population!PivotTable4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Total Vaccinated</a:t>
            </a:r>
          </a:p>
        </c:rich>
      </c:tx>
      <c:layout>
        <c:manualLayout>
          <c:xMode val="edge"/>
          <c:yMode val="edge"/>
          <c:x val="0.42425457326683724"/>
          <c:y val="8.98697186661191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population!$B$54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population!$A$55:$A$92</c:f>
              <c:strCache>
                <c:ptCount val="37"/>
                <c:pt idx="0">
                  <c:v>Uttar Pradesh</c:v>
                </c:pt>
                <c:pt idx="1">
                  <c:v>Maharashtra</c:v>
                </c:pt>
                <c:pt idx="2">
                  <c:v>Gujarat</c:v>
                </c:pt>
                <c:pt idx="3">
                  <c:v>Rajasthan</c:v>
                </c:pt>
                <c:pt idx="4">
                  <c:v>Madhya Pradesh</c:v>
                </c:pt>
                <c:pt idx="5">
                  <c:v>Karnataka</c:v>
                </c:pt>
                <c:pt idx="6">
                  <c:v>West Bengal</c:v>
                </c:pt>
                <c:pt idx="7">
                  <c:v>Bihar</c:v>
                </c:pt>
                <c:pt idx="8">
                  <c:v>Tamil Nadu</c:v>
                </c:pt>
                <c:pt idx="9">
                  <c:v>Andhra Pradesh</c:v>
                </c:pt>
                <c:pt idx="10">
                  <c:v>Kerala</c:v>
                </c:pt>
                <c:pt idx="11">
                  <c:v>Odisha</c:v>
                </c:pt>
                <c:pt idx="12">
                  <c:v>Telangana</c:v>
                </c:pt>
                <c:pt idx="13">
                  <c:v>Haryana</c:v>
                </c:pt>
                <c:pt idx="14">
                  <c:v>Chhattisgarh</c:v>
                </c:pt>
                <c:pt idx="15">
                  <c:v>Assam</c:v>
                </c:pt>
                <c:pt idx="16">
                  <c:v>Delhi</c:v>
                </c:pt>
                <c:pt idx="17">
                  <c:v>Punjab</c:v>
                </c:pt>
                <c:pt idx="18">
                  <c:v>Jharkhand</c:v>
                </c:pt>
                <c:pt idx="19">
                  <c:v>Jammu and Kashmir</c:v>
                </c:pt>
                <c:pt idx="20">
                  <c:v>Uttarakhand</c:v>
                </c:pt>
                <c:pt idx="21">
                  <c:v>Himachal Pradesh</c:v>
                </c:pt>
                <c:pt idx="22">
                  <c:v>Tripura</c:v>
                </c:pt>
                <c:pt idx="23">
                  <c:v>Manipur</c:v>
                </c:pt>
                <c:pt idx="24">
                  <c:v>Goa</c:v>
                </c:pt>
                <c:pt idx="25">
                  <c:v>Meghalaya</c:v>
                </c:pt>
                <c:pt idx="26">
                  <c:v>Chandigarh</c:v>
                </c:pt>
                <c:pt idx="27">
                  <c:v>Arunachal Pradesh</c:v>
                </c:pt>
                <c:pt idx="28">
                  <c:v>Mizoram</c:v>
                </c:pt>
                <c:pt idx="29">
                  <c:v>Nagaland</c:v>
                </c:pt>
                <c:pt idx="30">
                  <c:v>Puducherry</c:v>
                </c:pt>
                <c:pt idx="31">
                  <c:v>Dadra and Nagar Haveli and Daman and Diu</c:v>
                </c:pt>
                <c:pt idx="32">
                  <c:v>Sikkim</c:v>
                </c:pt>
                <c:pt idx="33">
                  <c:v>Andaman and Nicobar Islands</c:v>
                </c:pt>
                <c:pt idx="34">
                  <c:v>Ladakh</c:v>
                </c:pt>
                <c:pt idx="35">
                  <c:v>Lakshadweep</c:v>
                </c:pt>
                <c:pt idx="36">
                  <c:v>(blank)</c:v>
                </c:pt>
              </c:strCache>
            </c:strRef>
          </c:cat>
          <c:val>
            <c:numRef>
              <c:f>population!$B$55:$B$92</c:f>
              <c:numCache>
                <c:formatCode>General</c:formatCode>
                <c:ptCount val="37"/>
                <c:pt idx="0">
                  <c:v>52143250</c:v>
                </c:pt>
                <c:pt idx="1">
                  <c:v>45474924</c:v>
                </c:pt>
                <c:pt idx="2">
                  <c:v>34445808</c:v>
                </c:pt>
                <c:pt idx="3">
                  <c:v>33960155</c:v>
                </c:pt>
                <c:pt idx="4">
                  <c:v>33700696</c:v>
                </c:pt>
                <c:pt idx="5">
                  <c:v>31958469</c:v>
                </c:pt>
                <c:pt idx="6">
                  <c:v>30971437</c:v>
                </c:pt>
                <c:pt idx="7">
                  <c:v>25405635</c:v>
                </c:pt>
                <c:pt idx="8">
                  <c:v>24202926</c:v>
                </c:pt>
                <c:pt idx="9">
                  <c:v>22650559</c:v>
                </c:pt>
                <c:pt idx="10">
                  <c:v>21114476</c:v>
                </c:pt>
                <c:pt idx="11">
                  <c:v>17251295</c:v>
                </c:pt>
                <c:pt idx="12">
                  <c:v>15095915</c:v>
                </c:pt>
                <c:pt idx="13">
                  <c:v>12433768</c:v>
                </c:pt>
                <c:pt idx="14">
                  <c:v>12138500</c:v>
                </c:pt>
                <c:pt idx="15">
                  <c:v>11582167</c:v>
                </c:pt>
                <c:pt idx="16">
                  <c:v>10381633</c:v>
                </c:pt>
                <c:pt idx="17">
                  <c:v>9999736</c:v>
                </c:pt>
                <c:pt idx="18">
                  <c:v>9939180</c:v>
                </c:pt>
                <c:pt idx="19">
                  <c:v>6487172</c:v>
                </c:pt>
                <c:pt idx="20">
                  <c:v>6272237</c:v>
                </c:pt>
                <c:pt idx="21">
                  <c:v>5405528</c:v>
                </c:pt>
                <c:pt idx="22">
                  <c:v>3186689</c:v>
                </c:pt>
                <c:pt idx="23">
                  <c:v>1358157</c:v>
                </c:pt>
                <c:pt idx="24">
                  <c:v>1356445</c:v>
                </c:pt>
                <c:pt idx="25">
                  <c:v>1123742</c:v>
                </c:pt>
                <c:pt idx="26">
                  <c:v>870600</c:v>
                </c:pt>
                <c:pt idx="27">
                  <c:v>860312</c:v>
                </c:pt>
                <c:pt idx="28">
                  <c:v>847086</c:v>
                </c:pt>
                <c:pt idx="29">
                  <c:v>779573</c:v>
                </c:pt>
                <c:pt idx="30">
                  <c:v>733142</c:v>
                </c:pt>
                <c:pt idx="31">
                  <c:v>644811</c:v>
                </c:pt>
                <c:pt idx="32">
                  <c:v>644762</c:v>
                </c:pt>
                <c:pt idx="33">
                  <c:v>305737</c:v>
                </c:pt>
                <c:pt idx="34">
                  <c:v>256629</c:v>
                </c:pt>
                <c:pt idx="35">
                  <c:v>67032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D-462B-8FB0-2AC73D414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55636608"/>
        <c:axId val="55637088"/>
      </c:barChart>
      <c:catAx>
        <c:axId val="5563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37088"/>
        <c:crosses val="autoZero"/>
        <c:auto val="1"/>
        <c:lblAlgn val="ctr"/>
        <c:lblOffset val="100"/>
        <c:noMultiLvlLbl val="0"/>
      </c:catAx>
      <c:valAx>
        <c:axId val="556370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vaccinated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3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[project2.o.xlsx]ACTIVE!PivotTable5</c:name>
    <c:fmtId val="0"/>
  </c:pivotSource>
  <c:chart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ACTIVE!$B$3</c:f>
              <c:strCache>
                <c:ptCount val="1"/>
                <c:pt idx="0">
                  <c:v>Sum of Active Cases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ACTIVE!$A$4:$A$41</c:f>
              <c:strCache>
                <c:ptCount val="37"/>
                <c:pt idx="0">
                  <c:v>Maharashtra</c:v>
                </c:pt>
                <c:pt idx="1">
                  <c:v>Kerala</c:v>
                </c:pt>
                <c:pt idx="2">
                  <c:v>Karnataka</c:v>
                </c:pt>
                <c:pt idx="3">
                  <c:v>Tamil Nadu</c:v>
                </c:pt>
                <c:pt idx="4">
                  <c:v>Delhi</c:v>
                </c:pt>
                <c:pt idx="5">
                  <c:v>Uttar Pradesh</c:v>
                </c:pt>
                <c:pt idx="6">
                  <c:v>West Bengal</c:v>
                </c:pt>
                <c:pt idx="7">
                  <c:v>Punjab</c:v>
                </c:pt>
                <c:pt idx="8">
                  <c:v>Andhra Pradesh</c:v>
                </c:pt>
                <c:pt idx="9">
                  <c:v>Chhattisgarh</c:v>
                </c:pt>
                <c:pt idx="10">
                  <c:v>Bihar</c:v>
                </c:pt>
                <c:pt idx="11">
                  <c:v>Gujarat</c:v>
                </c:pt>
                <c:pt idx="12">
                  <c:v>Madhya Pradesh</c:v>
                </c:pt>
                <c:pt idx="13">
                  <c:v>Haryana</c:v>
                </c:pt>
                <c:pt idx="14">
                  <c:v>Rajasthan</c:v>
                </c:pt>
                <c:pt idx="15">
                  <c:v>Odisha</c:v>
                </c:pt>
                <c:pt idx="16">
                  <c:v>Assam</c:v>
                </c:pt>
                <c:pt idx="17">
                  <c:v>Uttarakhand</c:v>
                </c:pt>
                <c:pt idx="18">
                  <c:v>Jharkhand</c:v>
                </c:pt>
                <c:pt idx="19">
                  <c:v>Jammu and Kashmir</c:v>
                </c:pt>
                <c:pt idx="20">
                  <c:v>Himachal Pradesh</c:v>
                </c:pt>
                <c:pt idx="21">
                  <c:v>Telangana</c:v>
                </c:pt>
                <c:pt idx="22">
                  <c:v>Goa</c:v>
                </c:pt>
                <c:pt idx="23">
                  <c:v>Manipur</c:v>
                </c:pt>
                <c:pt idx="24">
                  <c:v>Puducherry</c:v>
                </c:pt>
                <c:pt idx="25">
                  <c:v>Meghalaya</c:v>
                </c:pt>
                <c:pt idx="26">
                  <c:v>Chandigarh</c:v>
                </c:pt>
                <c:pt idx="27">
                  <c:v>Tripura</c:v>
                </c:pt>
                <c:pt idx="28">
                  <c:v>Nagaland</c:v>
                </c:pt>
                <c:pt idx="29">
                  <c:v>Mizoram</c:v>
                </c:pt>
                <c:pt idx="30">
                  <c:v>Sikkim</c:v>
                </c:pt>
                <c:pt idx="31">
                  <c:v>Arunachal Pradesh</c:v>
                </c:pt>
                <c:pt idx="32">
                  <c:v>Ladakh</c:v>
                </c:pt>
                <c:pt idx="33">
                  <c:v>Andaman and Nicobar Islands</c:v>
                </c:pt>
                <c:pt idx="34">
                  <c:v>Lakshadweep</c:v>
                </c:pt>
                <c:pt idx="35">
                  <c:v>Dadra and Nagar Haveli and Daman and Diu</c:v>
                </c:pt>
                <c:pt idx="36">
                  <c:v>(blank)</c:v>
                </c:pt>
              </c:strCache>
            </c:strRef>
          </c:cat>
          <c:val>
            <c:numRef>
              <c:f>ACTIVE!$B$4:$B$41</c:f>
              <c:numCache>
                <c:formatCode>General</c:formatCode>
                <c:ptCount val="37"/>
                <c:pt idx="0">
                  <c:v>25735</c:v>
                </c:pt>
                <c:pt idx="1">
                  <c:v>28860</c:v>
                </c:pt>
                <c:pt idx="2">
                  <c:v>5707</c:v>
                </c:pt>
                <c:pt idx="3">
                  <c:v>10033</c:v>
                </c:pt>
                <c:pt idx="4">
                  <c:v>4325</c:v>
                </c:pt>
                <c:pt idx="5">
                  <c:v>3541</c:v>
                </c:pt>
                <c:pt idx="6">
                  <c:v>5885</c:v>
                </c:pt>
                <c:pt idx="7">
                  <c:v>1079</c:v>
                </c:pt>
                <c:pt idx="8">
                  <c:v>755</c:v>
                </c:pt>
                <c:pt idx="9">
                  <c:v>861</c:v>
                </c:pt>
                <c:pt idx="10">
                  <c:v>934</c:v>
                </c:pt>
                <c:pt idx="11">
                  <c:v>2914</c:v>
                </c:pt>
                <c:pt idx="12">
                  <c:v>490</c:v>
                </c:pt>
                <c:pt idx="13">
                  <c:v>2655</c:v>
                </c:pt>
                <c:pt idx="14">
                  <c:v>939</c:v>
                </c:pt>
                <c:pt idx="15">
                  <c:v>627</c:v>
                </c:pt>
                <c:pt idx="16">
                  <c:v>395</c:v>
                </c:pt>
                <c:pt idx="17">
                  <c:v>787</c:v>
                </c:pt>
                <c:pt idx="18">
                  <c:v>284</c:v>
                </c:pt>
                <c:pt idx="19">
                  <c:v>447</c:v>
                </c:pt>
                <c:pt idx="20">
                  <c:v>507</c:v>
                </c:pt>
                <c:pt idx="21">
                  <c:v>4421</c:v>
                </c:pt>
                <c:pt idx="22">
                  <c:v>982</c:v>
                </c:pt>
                <c:pt idx="23">
                  <c:v>18</c:v>
                </c:pt>
                <c:pt idx="24">
                  <c:v>304</c:v>
                </c:pt>
                <c:pt idx="25">
                  <c:v>65</c:v>
                </c:pt>
                <c:pt idx="26">
                  <c:v>568</c:v>
                </c:pt>
                <c:pt idx="27">
                  <c:v>7</c:v>
                </c:pt>
                <c:pt idx="28">
                  <c:v>2</c:v>
                </c:pt>
                <c:pt idx="29">
                  <c:v>261</c:v>
                </c:pt>
                <c:pt idx="30">
                  <c:v>26</c:v>
                </c:pt>
                <c:pt idx="31">
                  <c:v>4</c:v>
                </c:pt>
                <c:pt idx="32">
                  <c:v>78</c:v>
                </c:pt>
                <c:pt idx="33">
                  <c:v>42</c:v>
                </c:pt>
                <c:pt idx="34">
                  <c:v>3</c:v>
                </c:pt>
                <c:pt idx="3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0B-401D-B407-78E85F4F21E0}"/>
            </c:ext>
          </c:extLst>
        </c:ser>
        <c:ser>
          <c:idx val="1"/>
          <c:order val="1"/>
          <c:tx>
            <c:strRef>
              <c:f>ACTIVE!$C$3</c:f>
              <c:strCache>
                <c:ptCount val="1"/>
                <c:pt idx="0">
                  <c:v>Sum of Death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ACTIVE!$A$4:$A$41</c:f>
              <c:strCache>
                <c:ptCount val="37"/>
                <c:pt idx="0">
                  <c:v>Maharashtra</c:v>
                </c:pt>
                <c:pt idx="1">
                  <c:v>Kerala</c:v>
                </c:pt>
                <c:pt idx="2">
                  <c:v>Karnataka</c:v>
                </c:pt>
                <c:pt idx="3">
                  <c:v>Tamil Nadu</c:v>
                </c:pt>
                <c:pt idx="4">
                  <c:v>Delhi</c:v>
                </c:pt>
                <c:pt idx="5">
                  <c:v>Uttar Pradesh</c:v>
                </c:pt>
                <c:pt idx="6">
                  <c:v>West Bengal</c:v>
                </c:pt>
                <c:pt idx="7">
                  <c:v>Punjab</c:v>
                </c:pt>
                <c:pt idx="8">
                  <c:v>Andhra Pradesh</c:v>
                </c:pt>
                <c:pt idx="9">
                  <c:v>Chhattisgarh</c:v>
                </c:pt>
                <c:pt idx="10">
                  <c:v>Bihar</c:v>
                </c:pt>
                <c:pt idx="11">
                  <c:v>Gujarat</c:v>
                </c:pt>
                <c:pt idx="12">
                  <c:v>Madhya Pradesh</c:v>
                </c:pt>
                <c:pt idx="13">
                  <c:v>Haryana</c:v>
                </c:pt>
                <c:pt idx="14">
                  <c:v>Rajasthan</c:v>
                </c:pt>
                <c:pt idx="15">
                  <c:v>Odisha</c:v>
                </c:pt>
                <c:pt idx="16">
                  <c:v>Assam</c:v>
                </c:pt>
                <c:pt idx="17">
                  <c:v>Uttarakhand</c:v>
                </c:pt>
                <c:pt idx="18">
                  <c:v>Jharkhand</c:v>
                </c:pt>
                <c:pt idx="19">
                  <c:v>Jammu and Kashmir</c:v>
                </c:pt>
                <c:pt idx="20">
                  <c:v>Himachal Pradesh</c:v>
                </c:pt>
                <c:pt idx="21">
                  <c:v>Telangana</c:v>
                </c:pt>
                <c:pt idx="22">
                  <c:v>Goa</c:v>
                </c:pt>
                <c:pt idx="23">
                  <c:v>Manipur</c:v>
                </c:pt>
                <c:pt idx="24">
                  <c:v>Puducherry</c:v>
                </c:pt>
                <c:pt idx="25">
                  <c:v>Meghalaya</c:v>
                </c:pt>
                <c:pt idx="26">
                  <c:v>Chandigarh</c:v>
                </c:pt>
                <c:pt idx="27">
                  <c:v>Tripura</c:v>
                </c:pt>
                <c:pt idx="28">
                  <c:v>Nagaland</c:v>
                </c:pt>
                <c:pt idx="29">
                  <c:v>Mizoram</c:v>
                </c:pt>
                <c:pt idx="30">
                  <c:v>Sikkim</c:v>
                </c:pt>
                <c:pt idx="31">
                  <c:v>Arunachal Pradesh</c:v>
                </c:pt>
                <c:pt idx="32">
                  <c:v>Ladakh</c:v>
                </c:pt>
                <c:pt idx="33">
                  <c:v>Andaman and Nicobar Islands</c:v>
                </c:pt>
                <c:pt idx="34">
                  <c:v>Lakshadweep</c:v>
                </c:pt>
                <c:pt idx="35">
                  <c:v>Dadra and Nagar Haveli and Daman and Diu</c:v>
                </c:pt>
                <c:pt idx="36">
                  <c:v>(blank)</c:v>
                </c:pt>
              </c:strCache>
            </c:strRef>
          </c:cat>
          <c:val>
            <c:numRef>
              <c:f>ACTIVE!$C$4:$C$41</c:f>
              <c:numCache>
                <c:formatCode>General</c:formatCode>
                <c:ptCount val="37"/>
                <c:pt idx="0">
                  <c:v>147922</c:v>
                </c:pt>
                <c:pt idx="1">
                  <c:v>69993</c:v>
                </c:pt>
                <c:pt idx="2">
                  <c:v>40117</c:v>
                </c:pt>
                <c:pt idx="3">
                  <c:v>38026</c:v>
                </c:pt>
                <c:pt idx="4">
                  <c:v>26261</c:v>
                </c:pt>
                <c:pt idx="5">
                  <c:v>23538</c:v>
                </c:pt>
                <c:pt idx="6">
                  <c:v>21218</c:v>
                </c:pt>
                <c:pt idx="7">
                  <c:v>17773</c:v>
                </c:pt>
                <c:pt idx="8">
                  <c:v>14731</c:v>
                </c:pt>
                <c:pt idx="9">
                  <c:v>14036</c:v>
                </c:pt>
                <c:pt idx="10">
                  <c:v>12259</c:v>
                </c:pt>
                <c:pt idx="11">
                  <c:v>10946</c:v>
                </c:pt>
                <c:pt idx="12">
                  <c:v>10741</c:v>
                </c:pt>
                <c:pt idx="13">
                  <c:v>10624</c:v>
                </c:pt>
                <c:pt idx="14">
                  <c:v>9564</c:v>
                </c:pt>
                <c:pt idx="15">
                  <c:v>9126</c:v>
                </c:pt>
                <c:pt idx="16">
                  <c:v>7988</c:v>
                </c:pt>
                <c:pt idx="17">
                  <c:v>7696</c:v>
                </c:pt>
                <c:pt idx="18">
                  <c:v>5320</c:v>
                </c:pt>
                <c:pt idx="19">
                  <c:v>4756</c:v>
                </c:pt>
                <c:pt idx="20">
                  <c:v>4141</c:v>
                </c:pt>
                <c:pt idx="21">
                  <c:v>4111</c:v>
                </c:pt>
                <c:pt idx="22">
                  <c:v>3838</c:v>
                </c:pt>
                <c:pt idx="23">
                  <c:v>2120</c:v>
                </c:pt>
                <c:pt idx="24">
                  <c:v>1962</c:v>
                </c:pt>
                <c:pt idx="25">
                  <c:v>1594</c:v>
                </c:pt>
                <c:pt idx="26">
                  <c:v>1165</c:v>
                </c:pt>
                <c:pt idx="27">
                  <c:v>923</c:v>
                </c:pt>
                <c:pt idx="28">
                  <c:v>761</c:v>
                </c:pt>
                <c:pt idx="29">
                  <c:v>703</c:v>
                </c:pt>
                <c:pt idx="30">
                  <c:v>454</c:v>
                </c:pt>
                <c:pt idx="31">
                  <c:v>296</c:v>
                </c:pt>
                <c:pt idx="32">
                  <c:v>228</c:v>
                </c:pt>
                <c:pt idx="33">
                  <c:v>129</c:v>
                </c:pt>
                <c:pt idx="34">
                  <c:v>52</c:v>
                </c:pt>
                <c:pt idx="3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0B-401D-B407-78E85F4F2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847406752"/>
        <c:axId val="1847409152"/>
      </c:barChart>
      <c:catAx>
        <c:axId val="1847406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States/Uts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409152"/>
        <c:crosses val="autoZero"/>
        <c:auto val="1"/>
        <c:lblAlgn val="ctr"/>
        <c:lblOffset val="100"/>
        <c:noMultiLvlLbl val="0"/>
      </c:catAx>
      <c:valAx>
        <c:axId val="1847409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40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[project2.o.xlsx]cases!PivotTable4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Active Cases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cases!$B$3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cases!$A$4:$A$41</c:f>
              <c:strCache>
                <c:ptCount val="37"/>
                <c:pt idx="0">
                  <c:v>Kerala</c:v>
                </c:pt>
                <c:pt idx="1">
                  <c:v>Maharashtra</c:v>
                </c:pt>
                <c:pt idx="2">
                  <c:v>Tamil Nadu</c:v>
                </c:pt>
                <c:pt idx="3">
                  <c:v>West Bengal</c:v>
                </c:pt>
                <c:pt idx="4">
                  <c:v>Karnataka</c:v>
                </c:pt>
                <c:pt idx="5">
                  <c:v>Telangana</c:v>
                </c:pt>
                <c:pt idx="6">
                  <c:v>Delhi</c:v>
                </c:pt>
                <c:pt idx="7">
                  <c:v>Uttar Pradesh</c:v>
                </c:pt>
                <c:pt idx="8">
                  <c:v>Gujarat</c:v>
                </c:pt>
                <c:pt idx="9">
                  <c:v>Haryana</c:v>
                </c:pt>
                <c:pt idx="10">
                  <c:v>Punjab</c:v>
                </c:pt>
                <c:pt idx="11">
                  <c:v>Goa</c:v>
                </c:pt>
                <c:pt idx="12">
                  <c:v>Rajasthan</c:v>
                </c:pt>
                <c:pt idx="13">
                  <c:v>Bihar</c:v>
                </c:pt>
                <c:pt idx="14">
                  <c:v>Chhattisgarh</c:v>
                </c:pt>
                <c:pt idx="15">
                  <c:v>Uttarakhand</c:v>
                </c:pt>
                <c:pt idx="16">
                  <c:v>Andhra Pradesh</c:v>
                </c:pt>
                <c:pt idx="17">
                  <c:v>Odisha</c:v>
                </c:pt>
                <c:pt idx="18">
                  <c:v>Chandigarh</c:v>
                </c:pt>
                <c:pt idx="19">
                  <c:v>Himachal Pradesh</c:v>
                </c:pt>
                <c:pt idx="20">
                  <c:v>Madhya Pradesh</c:v>
                </c:pt>
                <c:pt idx="21">
                  <c:v>Jammu and Kashmir</c:v>
                </c:pt>
                <c:pt idx="22">
                  <c:v>Assam</c:v>
                </c:pt>
                <c:pt idx="23">
                  <c:v>Puducherry</c:v>
                </c:pt>
                <c:pt idx="24">
                  <c:v>Jharkhand</c:v>
                </c:pt>
                <c:pt idx="25">
                  <c:v>Mizoram</c:v>
                </c:pt>
                <c:pt idx="26">
                  <c:v>Ladakh</c:v>
                </c:pt>
                <c:pt idx="27">
                  <c:v>Meghalaya</c:v>
                </c:pt>
                <c:pt idx="28">
                  <c:v>Andaman and Nicobar Islands</c:v>
                </c:pt>
                <c:pt idx="29">
                  <c:v>Sikkim</c:v>
                </c:pt>
                <c:pt idx="30">
                  <c:v>Manipur</c:v>
                </c:pt>
                <c:pt idx="31">
                  <c:v>Dadra and Nagar Haveli and Daman and Diu</c:v>
                </c:pt>
                <c:pt idx="32">
                  <c:v>Tripura</c:v>
                </c:pt>
                <c:pt idx="33">
                  <c:v>Arunachal Pradesh</c:v>
                </c:pt>
                <c:pt idx="34">
                  <c:v>Lakshadweep</c:v>
                </c:pt>
                <c:pt idx="35">
                  <c:v>Nagaland</c:v>
                </c:pt>
                <c:pt idx="36">
                  <c:v>(blank)</c:v>
                </c:pt>
              </c:strCache>
            </c:strRef>
          </c:cat>
          <c:val>
            <c:numRef>
              <c:f>cases!$B$4:$B$41</c:f>
              <c:numCache>
                <c:formatCode>General</c:formatCode>
                <c:ptCount val="37"/>
                <c:pt idx="0">
                  <c:v>28860</c:v>
                </c:pt>
                <c:pt idx="1">
                  <c:v>25735</c:v>
                </c:pt>
                <c:pt idx="2">
                  <c:v>10033</c:v>
                </c:pt>
                <c:pt idx="3">
                  <c:v>5885</c:v>
                </c:pt>
                <c:pt idx="4">
                  <c:v>5707</c:v>
                </c:pt>
                <c:pt idx="5">
                  <c:v>4421</c:v>
                </c:pt>
                <c:pt idx="6">
                  <c:v>4325</c:v>
                </c:pt>
                <c:pt idx="7">
                  <c:v>3541</c:v>
                </c:pt>
                <c:pt idx="8">
                  <c:v>2914</c:v>
                </c:pt>
                <c:pt idx="9">
                  <c:v>2655</c:v>
                </c:pt>
                <c:pt idx="10">
                  <c:v>1079</c:v>
                </c:pt>
                <c:pt idx="11">
                  <c:v>982</c:v>
                </c:pt>
                <c:pt idx="12">
                  <c:v>939</c:v>
                </c:pt>
                <c:pt idx="13">
                  <c:v>934</c:v>
                </c:pt>
                <c:pt idx="14">
                  <c:v>861</c:v>
                </c:pt>
                <c:pt idx="15">
                  <c:v>787</c:v>
                </c:pt>
                <c:pt idx="16">
                  <c:v>755</c:v>
                </c:pt>
                <c:pt idx="17">
                  <c:v>627</c:v>
                </c:pt>
                <c:pt idx="18">
                  <c:v>568</c:v>
                </c:pt>
                <c:pt idx="19">
                  <c:v>507</c:v>
                </c:pt>
                <c:pt idx="20">
                  <c:v>490</c:v>
                </c:pt>
                <c:pt idx="21">
                  <c:v>447</c:v>
                </c:pt>
                <c:pt idx="22">
                  <c:v>395</c:v>
                </c:pt>
                <c:pt idx="23">
                  <c:v>304</c:v>
                </c:pt>
                <c:pt idx="24">
                  <c:v>284</c:v>
                </c:pt>
                <c:pt idx="25">
                  <c:v>261</c:v>
                </c:pt>
                <c:pt idx="26">
                  <c:v>78</c:v>
                </c:pt>
                <c:pt idx="27">
                  <c:v>65</c:v>
                </c:pt>
                <c:pt idx="28">
                  <c:v>42</c:v>
                </c:pt>
                <c:pt idx="29">
                  <c:v>26</c:v>
                </c:pt>
                <c:pt idx="30">
                  <c:v>18</c:v>
                </c:pt>
                <c:pt idx="31">
                  <c:v>14</c:v>
                </c:pt>
                <c:pt idx="32">
                  <c:v>7</c:v>
                </c:pt>
                <c:pt idx="33">
                  <c:v>4</c:v>
                </c:pt>
                <c:pt idx="34">
                  <c:v>3</c:v>
                </c:pt>
                <c:pt idx="3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AC-4125-8B68-9B0DF9CEF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91314447"/>
        <c:axId val="291315407"/>
      </c:barChart>
      <c:catAx>
        <c:axId val="291314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States/UTS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315407"/>
        <c:crosses val="autoZero"/>
        <c:auto val="1"/>
        <c:lblAlgn val="ctr"/>
        <c:lblOffset val="100"/>
        <c:noMultiLvlLbl val="0"/>
      </c:catAx>
      <c:valAx>
        <c:axId val="2913154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31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[project2.o.xlsx]cases!PivotTable6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Death Cases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cases!$I$3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cases!$H$4:$H$41</c:f>
              <c:strCache>
                <c:ptCount val="37"/>
                <c:pt idx="0">
                  <c:v>Maharashtra</c:v>
                </c:pt>
                <c:pt idx="1">
                  <c:v>Kerala</c:v>
                </c:pt>
                <c:pt idx="2">
                  <c:v>Karnataka</c:v>
                </c:pt>
                <c:pt idx="3">
                  <c:v>Tamil Nadu</c:v>
                </c:pt>
                <c:pt idx="4">
                  <c:v>Delhi</c:v>
                </c:pt>
                <c:pt idx="5">
                  <c:v>Uttar Pradesh</c:v>
                </c:pt>
                <c:pt idx="6">
                  <c:v>West Bengal</c:v>
                </c:pt>
                <c:pt idx="7">
                  <c:v>Punjab</c:v>
                </c:pt>
                <c:pt idx="8">
                  <c:v>Andhra Pradesh</c:v>
                </c:pt>
                <c:pt idx="9">
                  <c:v>Chhattisgarh</c:v>
                </c:pt>
                <c:pt idx="10">
                  <c:v>Bihar</c:v>
                </c:pt>
                <c:pt idx="11">
                  <c:v>Gujarat</c:v>
                </c:pt>
                <c:pt idx="12">
                  <c:v>Madhya Pradesh</c:v>
                </c:pt>
                <c:pt idx="13">
                  <c:v>Haryana</c:v>
                </c:pt>
                <c:pt idx="14">
                  <c:v>Rajasthan</c:v>
                </c:pt>
                <c:pt idx="15">
                  <c:v>Odisha</c:v>
                </c:pt>
                <c:pt idx="16">
                  <c:v>Assam</c:v>
                </c:pt>
                <c:pt idx="17">
                  <c:v>Uttarakhand</c:v>
                </c:pt>
                <c:pt idx="18">
                  <c:v>Jharkhand</c:v>
                </c:pt>
                <c:pt idx="19">
                  <c:v>Jammu and Kashmir</c:v>
                </c:pt>
                <c:pt idx="20">
                  <c:v>Himachal Pradesh</c:v>
                </c:pt>
                <c:pt idx="21">
                  <c:v>Telangana</c:v>
                </c:pt>
                <c:pt idx="22">
                  <c:v>Goa</c:v>
                </c:pt>
                <c:pt idx="23">
                  <c:v>Manipur</c:v>
                </c:pt>
                <c:pt idx="24">
                  <c:v>Puducherry</c:v>
                </c:pt>
                <c:pt idx="25">
                  <c:v>Meghalaya</c:v>
                </c:pt>
                <c:pt idx="26">
                  <c:v>Chandigarh</c:v>
                </c:pt>
                <c:pt idx="27">
                  <c:v>Tripura</c:v>
                </c:pt>
                <c:pt idx="28">
                  <c:v>Nagaland</c:v>
                </c:pt>
                <c:pt idx="29">
                  <c:v>Mizoram</c:v>
                </c:pt>
                <c:pt idx="30">
                  <c:v>Sikkim</c:v>
                </c:pt>
                <c:pt idx="31">
                  <c:v>Arunachal Pradesh</c:v>
                </c:pt>
                <c:pt idx="32">
                  <c:v>Ladakh</c:v>
                </c:pt>
                <c:pt idx="33">
                  <c:v>Andaman and Nicobar Islands</c:v>
                </c:pt>
                <c:pt idx="34">
                  <c:v>Lakshadweep</c:v>
                </c:pt>
                <c:pt idx="35">
                  <c:v>Dadra and Nagar Haveli and Daman and Diu</c:v>
                </c:pt>
                <c:pt idx="36">
                  <c:v>(blank)</c:v>
                </c:pt>
              </c:strCache>
            </c:strRef>
          </c:cat>
          <c:val>
            <c:numRef>
              <c:f>cases!$I$4:$I$41</c:f>
              <c:numCache>
                <c:formatCode>General</c:formatCode>
                <c:ptCount val="37"/>
                <c:pt idx="0">
                  <c:v>147922</c:v>
                </c:pt>
                <c:pt idx="1">
                  <c:v>69993</c:v>
                </c:pt>
                <c:pt idx="2">
                  <c:v>40117</c:v>
                </c:pt>
                <c:pt idx="3">
                  <c:v>38026</c:v>
                </c:pt>
                <c:pt idx="4">
                  <c:v>26261</c:v>
                </c:pt>
                <c:pt idx="5">
                  <c:v>23538</c:v>
                </c:pt>
                <c:pt idx="6">
                  <c:v>21218</c:v>
                </c:pt>
                <c:pt idx="7">
                  <c:v>17773</c:v>
                </c:pt>
                <c:pt idx="8">
                  <c:v>14731</c:v>
                </c:pt>
                <c:pt idx="9">
                  <c:v>14036</c:v>
                </c:pt>
                <c:pt idx="10">
                  <c:v>12259</c:v>
                </c:pt>
                <c:pt idx="11">
                  <c:v>10946</c:v>
                </c:pt>
                <c:pt idx="12">
                  <c:v>10741</c:v>
                </c:pt>
                <c:pt idx="13">
                  <c:v>10624</c:v>
                </c:pt>
                <c:pt idx="14">
                  <c:v>9564</c:v>
                </c:pt>
                <c:pt idx="15">
                  <c:v>9126</c:v>
                </c:pt>
                <c:pt idx="16">
                  <c:v>7988</c:v>
                </c:pt>
                <c:pt idx="17">
                  <c:v>7696</c:v>
                </c:pt>
                <c:pt idx="18">
                  <c:v>5320</c:v>
                </c:pt>
                <c:pt idx="19">
                  <c:v>4756</c:v>
                </c:pt>
                <c:pt idx="20">
                  <c:v>4141</c:v>
                </c:pt>
                <c:pt idx="21">
                  <c:v>4111</c:v>
                </c:pt>
                <c:pt idx="22">
                  <c:v>3838</c:v>
                </c:pt>
                <c:pt idx="23">
                  <c:v>2120</c:v>
                </c:pt>
                <c:pt idx="24">
                  <c:v>1962</c:v>
                </c:pt>
                <c:pt idx="25">
                  <c:v>1594</c:v>
                </c:pt>
                <c:pt idx="26">
                  <c:v>1165</c:v>
                </c:pt>
                <c:pt idx="27">
                  <c:v>923</c:v>
                </c:pt>
                <c:pt idx="28">
                  <c:v>761</c:v>
                </c:pt>
                <c:pt idx="29">
                  <c:v>703</c:v>
                </c:pt>
                <c:pt idx="30">
                  <c:v>454</c:v>
                </c:pt>
                <c:pt idx="31">
                  <c:v>296</c:v>
                </c:pt>
                <c:pt idx="32">
                  <c:v>228</c:v>
                </c:pt>
                <c:pt idx="33">
                  <c:v>129</c:v>
                </c:pt>
                <c:pt idx="34">
                  <c:v>52</c:v>
                </c:pt>
                <c:pt idx="3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6B-4F47-8D3B-CF9D22CEB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13835775"/>
        <c:axId val="1013837695"/>
      </c:barChart>
      <c:catAx>
        <c:axId val="1013835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STATES/UTS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837695"/>
        <c:crosses val="autoZero"/>
        <c:auto val="1"/>
        <c:lblAlgn val="ctr"/>
        <c:lblOffset val="100"/>
        <c:noMultiLvlLbl val="0"/>
      </c:catAx>
      <c:valAx>
        <c:axId val="10138376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835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[project2.o.xlsx]cases!PivotTable5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Discharged cases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cases!$E$3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cases!$D$4:$D$41</c:f>
              <c:strCache>
                <c:ptCount val="37"/>
                <c:pt idx="0">
                  <c:v>Maharashtra</c:v>
                </c:pt>
                <c:pt idx="1">
                  <c:v>Kerala</c:v>
                </c:pt>
                <c:pt idx="2">
                  <c:v>Karnataka</c:v>
                </c:pt>
                <c:pt idx="3">
                  <c:v>Tamil Nadu</c:v>
                </c:pt>
                <c:pt idx="4">
                  <c:v>Andhra Pradesh</c:v>
                </c:pt>
                <c:pt idx="5">
                  <c:v>Uttar Pradesh</c:v>
                </c:pt>
                <c:pt idx="6">
                  <c:v>West Bengal</c:v>
                </c:pt>
                <c:pt idx="7">
                  <c:v>Delhi</c:v>
                </c:pt>
                <c:pt idx="8">
                  <c:v>Odisha</c:v>
                </c:pt>
                <c:pt idx="9">
                  <c:v>Rajasthan</c:v>
                </c:pt>
                <c:pt idx="10">
                  <c:v>Gujarat</c:v>
                </c:pt>
                <c:pt idx="11">
                  <c:v>Chhattisgarh</c:v>
                </c:pt>
                <c:pt idx="12">
                  <c:v>Madhya Pradesh</c:v>
                </c:pt>
                <c:pt idx="13">
                  <c:v>Haryana</c:v>
                </c:pt>
                <c:pt idx="14">
                  <c:v>Bihar</c:v>
                </c:pt>
                <c:pt idx="15">
                  <c:v>Telangana</c:v>
                </c:pt>
                <c:pt idx="16">
                  <c:v>Punjab</c:v>
                </c:pt>
                <c:pt idx="17">
                  <c:v>Assam</c:v>
                </c:pt>
                <c:pt idx="18">
                  <c:v>Jammu and Kashmir</c:v>
                </c:pt>
                <c:pt idx="19">
                  <c:v>Jharkhand</c:v>
                </c:pt>
                <c:pt idx="20">
                  <c:v>Uttarakhand</c:v>
                </c:pt>
                <c:pt idx="21">
                  <c:v>Himachal Pradesh</c:v>
                </c:pt>
                <c:pt idx="22">
                  <c:v>Goa</c:v>
                </c:pt>
                <c:pt idx="23">
                  <c:v>Mizoram</c:v>
                </c:pt>
                <c:pt idx="24">
                  <c:v>Puducherry</c:v>
                </c:pt>
                <c:pt idx="25">
                  <c:v>Manipur</c:v>
                </c:pt>
                <c:pt idx="26">
                  <c:v>Tripura</c:v>
                </c:pt>
                <c:pt idx="27">
                  <c:v>Meghalaya</c:v>
                </c:pt>
                <c:pt idx="28">
                  <c:v>Chandigarh</c:v>
                </c:pt>
                <c:pt idx="29">
                  <c:v>Arunachal Pradesh</c:v>
                </c:pt>
                <c:pt idx="30">
                  <c:v>Sikkim</c:v>
                </c:pt>
                <c:pt idx="31">
                  <c:v>Nagaland</c:v>
                </c:pt>
                <c:pt idx="32">
                  <c:v>Ladakh</c:v>
                </c:pt>
                <c:pt idx="33">
                  <c:v>Dadra and Nagar Haveli and Daman and Diu</c:v>
                </c:pt>
                <c:pt idx="34">
                  <c:v>Lakshadweep</c:v>
                </c:pt>
                <c:pt idx="35">
                  <c:v>Andaman and Nicobar Islands</c:v>
                </c:pt>
                <c:pt idx="36">
                  <c:v>(blank)</c:v>
                </c:pt>
              </c:strCache>
            </c:strRef>
          </c:cat>
          <c:val>
            <c:numRef>
              <c:f>cases!$E$4:$E$41</c:f>
              <c:numCache>
                <c:formatCode>General</c:formatCode>
                <c:ptCount val="37"/>
                <c:pt idx="0">
                  <c:v>7798817</c:v>
                </c:pt>
                <c:pt idx="1">
                  <c:v>6535869</c:v>
                </c:pt>
                <c:pt idx="2">
                  <c:v>3922541</c:v>
                </c:pt>
                <c:pt idx="3">
                  <c:v>3425057</c:v>
                </c:pt>
                <c:pt idx="4">
                  <c:v>2305893</c:v>
                </c:pt>
                <c:pt idx="5">
                  <c:v>2062971</c:v>
                </c:pt>
                <c:pt idx="6">
                  <c:v>2000798</c:v>
                </c:pt>
                <c:pt idx="7">
                  <c:v>1903423</c:v>
                </c:pt>
                <c:pt idx="8">
                  <c:v>1279849</c:v>
                </c:pt>
                <c:pt idx="9">
                  <c:v>1277825</c:v>
                </c:pt>
                <c:pt idx="10">
                  <c:v>1217623</c:v>
                </c:pt>
                <c:pt idx="11">
                  <c:v>1139282</c:v>
                </c:pt>
                <c:pt idx="12">
                  <c:v>1033012</c:v>
                </c:pt>
                <c:pt idx="13">
                  <c:v>1002222</c:v>
                </c:pt>
                <c:pt idx="14">
                  <c:v>819388</c:v>
                </c:pt>
                <c:pt idx="15">
                  <c:v>791944</c:v>
                </c:pt>
                <c:pt idx="16">
                  <c:v>743903</c:v>
                </c:pt>
                <c:pt idx="17">
                  <c:v>716405</c:v>
                </c:pt>
                <c:pt idx="18">
                  <c:v>449803</c:v>
                </c:pt>
                <c:pt idx="19">
                  <c:v>430254</c:v>
                </c:pt>
                <c:pt idx="20">
                  <c:v>430180</c:v>
                </c:pt>
                <c:pt idx="21">
                  <c:v>281413</c:v>
                </c:pt>
                <c:pt idx="22">
                  <c:v>243720</c:v>
                </c:pt>
                <c:pt idx="23">
                  <c:v>228084</c:v>
                </c:pt>
                <c:pt idx="24">
                  <c:v>164172</c:v>
                </c:pt>
                <c:pt idx="25">
                  <c:v>135128</c:v>
                </c:pt>
                <c:pt idx="26">
                  <c:v>99971</c:v>
                </c:pt>
                <c:pt idx="27">
                  <c:v>92288</c:v>
                </c:pt>
                <c:pt idx="28">
                  <c:v>92052</c:v>
                </c:pt>
                <c:pt idx="29">
                  <c:v>64218</c:v>
                </c:pt>
                <c:pt idx="30">
                  <c:v>38744</c:v>
                </c:pt>
                <c:pt idx="31">
                  <c:v>34744</c:v>
                </c:pt>
                <c:pt idx="32">
                  <c:v>28105</c:v>
                </c:pt>
                <c:pt idx="33">
                  <c:v>11456</c:v>
                </c:pt>
                <c:pt idx="34">
                  <c:v>11353</c:v>
                </c:pt>
                <c:pt idx="35">
                  <c:v>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F-4FD4-9171-043C05AFE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91281327"/>
        <c:axId val="291274607"/>
      </c:barChart>
      <c:catAx>
        <c:axId val="291281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States/Uts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274607"/>
        <c:crosses val="autoZero"/>
        <c:auto val="1"/>
        <c:lblAlgn val="ctr"/>
        <c:lblOffset val="100"/>
        <c:noMultiLvlLbl val="0"/>
      </c:catAx>
      <c:valAx>
        <c:axId val="2912746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Cured/Discharged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244766331291921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281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[project2.o.xlsx]cases!PivotTable7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Zone-wise Active Cases</a:t>
            </a:r>
          </a:p>
        </c:rich>
      </c:tx>
      <c:layout>
        <c:manualLayout>
          <c:xMode val="edge"/>
          <c:yMode val="edge"/>
          <c:x val="0.48288547664747283"/>
          <c:y val="0.124682690525753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cases!$B$48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23E-4E76-AD3E-43194E5ED04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23E-4E76-AD3E-43194E5ED04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23E-4E76-AD3E-43194E5ED04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23E-4E76-AD3E-43194E5ED04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23E-4E76-AD3E-43194E5ED045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cases!$A$49:$A$54</c:f>
              <c:strCache>
                <c:ptCount val="5"/>
                <c:pt idx="0">
                  <c:v>South</c:v>
                </c:pt>
                <c:pt idx="1">
                  <c:v>West</c:v>
                </c:pt>
                <c:pt idx="2">
                  <c:v>North</c:v>
                </c:pt>
                <c:pt idx="3">
                  <c:v>East</c:v>
                </c:pt>
                <c:pt idx="4">
                  <c:v>(blank)</c:v>
                </c:pt>
              </c:strCache>
            </c:strRef>
          </c:cat>
          <c:val>
            <c:numRef>
              <c:f>cases!$B$49:$B$54</c:f>
              <c:numCache>
                <c:formatCode>General</c:formatCode>
                <c:ptCount val="5"/>
                <c:pt idx="0">
                  <c:v>50125</c:v>
                </c:pt>
                <c:pt idx="1">
                  <c:v>31074</c:v>
                </c:pt>
                <c:pt idx="2">
                  <c:v>13987</c:v>
                </c:pt>
                <c:pt idx="3">
                  <c:v>9369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23E-4E76-AD3E-43194E5ED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[project2.o.xlsx]cases!PivotTable8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Zone-wise Cured cases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cases!$E$48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C72-4A46-979A-111D2FB853A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C72-4A46-979A-111D2FB853A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C72-4A46-979A-111D2FB853A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C72-4A46-979A-111D2FB853A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C72-4A46-979A-111D2FB853AB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cases!$D$49:$D$54</c:f>
              <c:strCache>
                <c:ptCount val="5"/>
                <c:pt idx="0">
                  <c:v>South</c:v>
                </c:pt>
                <c:pt idx="1">
                  <c:v>West</c:v>
                </c:pt>
                <c:pt idx="2">
                  <c:v>East</c:v>
                </c:pt>
                <c:pt idx="3">
                  <c:v>North</c:v>
                </c:pt>
                <c:pt idx="4">
                  <c:v>(blank)</c:v>
                </c:pt>
              </c:strCache>
            </c:strRef>
          </c:cat>
          <c:val>
            <c:numRef>
              <c:f>cases!$E$49:$E$54</c:f>
              <c:numCache>
                <c:formatCode>General</c:formatCode>
                <c:ptCount val="5"/>
                <c:pt idx="0">
                  <c:v>17166815</c:v>
                </c:pt>
                <c:pt idx="1">
                  <c:v>11582453</c:v>
                </c:pt>
                <c:pt idx="2">
                  <c:v>7079153</c:v>
                </c:pt>
                <c:pt idx="3">
                  <c:v>6994072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72-4A46-979A-111D2FB85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[project2.o.xlsx]cases!PivotTable9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Zone-wise Death cases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cases!$I$48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4C7-4333-8CFD-32E4EA2586E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4C7-4333-8CFD-32E4EA2586E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4C7-4333-8CFD-32E4EA2586E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4C7-4333-8CFD-32E4EA2586E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4C7-4333-8CFD-32E4EA2586EF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cases!$H$49:$H$54</c:f>
              <c:strCache>
                <c:ptCount val="5"/>
                <c:pt idx="0">
                  <c:v>West</c:v>
                </c:pt>
                <c:pt idx="1">
                  <c:v>South</c:v>
                </c:pt>
                <c:pt idx="2">
                  <c:v>North</c:v>
                </c:pt>
                <c:pt idx="3">
                  <c:v>East</c:v>
                </c:pt>
                <c:pt idx="4">
                  <c:v>(blank)</c:v>
                </c:pt>
              </c:strCache>
            </c:strRef>
          </c:cat>
          <c:val>
            <c:numRef>
              <c:f>cases!$I$49:$I$54</c:f>
              <c:numCache>
                <c:formatCode>General</c:formatCode>
                <c:ptCount val="5"/>
                <c:pt idx="0">
                  <c:v>183015</c:v>
                </c:pt>
                <c:pt idx="1">
                  <c:v>169121</c:v>
                </c:pt>
                <c:pt idx="2">
                  <c:v>96182</c:v>
                </c:pt>
                <c:pt idx="3">
                  <c:v>76798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4C7-4333-8CFD-32E4EA258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 most populated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1657944597416121"/>
          <c:y val="0.1784030784030784"/>
          <c:w val="0.59303200596857908"/>
          <c:h val="0.608401601314987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population!$E$2</c:f>
              <c:strCache>
                <c:ptCount val="1"/>
                <c:pt idx="0">
                  <c:v>population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population!$D$3:$D$7</c:f>
              <c:strCache>
                <c:ptCount val="5"/>
                <c:pt idx="0">
                  <c:v>Uttar Pradesh</c:v>
                </c:pt>
                <c:pt idx="1">
                  <c:v>Bihar</c:v>
                </c:pt>
                <c:pt idx="2">
                  <c:v>Maharashtra</c:v>
                </c:pt>
                <c:pt idx="3">
                  <c:v>West Bengal</c:v>
                </c:pt>
                <c:pt idx="4">
                  <c:v>Andhra Pradesh</c:v>
                </c:pt>
              </c:strCache>
            </c:strRef>
          </c:cat>
          <c:val>
            <c:numRef>
              <c:f>population!$E$3:$E$7</c:f>
              <c:numCache>
                <c:formatCode>General</c:formatCode>
                <c:ptCount val="5"/>
                <c:pt idx="0">
                  <c:v>231502578</c:v>
                </c:pt>
                <c:pt idx="1">
                  <c:v>128500364</c:v>
                </c:pt>
                <c:pt idx="2">
                  <c:v>124904071</c:v>
                </c:pt>
                <c:pt idx="3">
                  <c:v>100896618</c:v>
                </c:pt>
                <c:pt idx="4">
                  <c:v>91702478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C0-442F-BEB9-655CAD8B886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9318272"/>
        <c:axId val="1939302432"/>
      </c:barChart>
      <c:catAx>
        <c:axId val="19393182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302432"/>
        <c:crosses val="autoZero"/>
        <c:auto val="1"/>
        <c:lblAlgn val="ctr"/>
        <c:lblOffset val="100"/>
        <c:noMultiLvlLbl val="0"/>
      </c:catAx>
      <c:valAx>
        <c:axId val="193930243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939318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least populated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population!$D$9:$D$13</c:f>
              <c:strCache>
                <c:ptCount val="5"/>
                <c:pt idx="0">
                  <c:v>Dadra and Nagar Haveli and Daman and Diu</c:v>
                </c:pt>
                <c:pt idx="1">
                  <c:v>Sikkim</c:v>
                </c:pt>
                <c:pt idx="2">
                  <c:v>Andaman and Nicobar Islands</c:v>
                </c:pt>
                <c:pt idx="3">
                  <c:v>Ladakh</c:v>
                </c:pt>
                <c:pt idx="4">
                  <c:v>Lakshadweep</c:v>
                </c:pt>
              </c:strCache>
            </c:strRef>
          </c:cat>
          <c:val>
            <c:numRef>
              <c:f>population!$E$9:$E$13</c:f>
              <c:numCache>
                <c:formatCode>General</c:formatCode>
                <c:ptCount val="5"/>
                <c:pt idx="0">
                  <c:v>773997</c:v>
                </c:pt>
                <c:pt idx="1">
                  <c:v>658019</c:v>
                </c:pt>
                <c:pt idx="2">
                  <c:v>399001</c:v>
                </c:pt>
                <c:pt idx="3">
                  <c:v>290492</c:v>
                </c:pt>
                <c:pt idx="4">
                  <c:v>66001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E5-47D0-B48B-68CE36DD4AF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9396512"/>
        <c:axId val="1939404672"/>
      </c:barChart>
      <c:catAx>
        <c:axId val="19393965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404672"/>
        <c:crosses val="autoZero"/>
        <c:auto val="1"/>
        <c:lblAlgn val="ctr"/>
        <c:lblOffset val="100"/>
        <c:noMultiLvlLbl val="0"/>
      </c:catAx>
      <c:valAx>
        <c:axId val="193940467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939396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[project2.o.xlsx]population!PivotTable4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Total Vaccinated</a:t>
            </a:r>
          </a:p>
        </c:rich>
      </c:tx>
      <c:layout>
        <c:manualLayout>
          <c:xMode val="edge"/>
          <c:yMode val="edge"/>
          <c:x val="0.42425457326683724"/>
          <c:y val="8.98697186661191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population!$B$54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population!$A$55:$A$92</c:f>
              <c:strCache>
                <c:ptCount val="37"/>
                <c:pt idx="0">
                  <c:v>Uttar Pradesh</c:v>
                </c:pt>
                <c:pt idx="1">
                  <c:v>Maharashtra</c:v>
                </c:pt>
                <c:pt idx="2">
                  <c:v>Gujarat</c:v>
                </c:pt>
                <c:pt idx="3">
                  <c:v>Rajasthan</c:v>
                </c:pt>
                <c:pt idx="4">
                  <c:v>Madhya Pradesh</c:v>
                </c:pt>
                <c:pt idx="5">
                  <c:v>Karnataka</c:v>
                </c:pt>
                <c:pt idx="6">
                  <c:v>West Bengal</c:v>
                </c:pt>
                <c:pt idx="7">
                  <c:v>Bihar</c:v>
                </c:pt>
                <c:pt idx="8">
                  <c:v>Tamil Nadu</c:v>
                </c:pt>
                <c:pt idx="9">
                  <c:v>Andhra Pradesh</c:v>
                </c:pt>
                <c:pt idx="10">
                  <c:v>Kerala</c:v>
                </c:pt>
                <c:pt idx="11">
                  <c:v>Odisha</c:v>
                </c:pt>
                <c:pt idx="12">
                  <c:v>Telangana</c:v>
                </c:pt>
                <c:pt idx="13">
                  <c:v>Haryana</c:v>
                </c:pt>
                <c:pt idx="14">
                  <c:v>Chhattisgarh</c:v>
                </c:pt>
                <c:pt idx="15">
                  <c:v>Assam</c:v>
                </c:pt>
                <c:pt idx="16">
                  <c:v>Delhi</c:v>
                </c:pt>
                <c:pt idx="17">
                  <c:v>Punjab</c:v>
                </c:pt>
                <c:pt idx="18">
                  <c:v>Jharkhand</c:v>
                </c:pt>
                <c:pt idx="19">
                  <c:v>Jammu and Kashmir</c:v>
                </c:pt>
                <c:pt idx="20">
                  <c:v>Uttarakhand</c:v>
                </c:pt>
                <c:pt idx="21">
                  <c:v>Himachal Pradesh</c:v>
                </c:pt>
                <c:pt idx="22">
                  <c:v>Tripura</c:v>
                </c:pt>
                <c:pt idx="23">
                  <c:v>Manipur</c:v>
                </c:pt>
                <c:pt idx="24">
                  <c:v>Goa</c:v>
                </c:pt>
                <c:pt idx="25">
                  <c:v>Meghalaya</c:v>
                </c:pt>
                <c:pt idx="26">
                  <c:v>Chandigarh</c:v>
                </c:pt>
                <c:pt idx="27">
                  <c:v>Arunachal Pradesh</c:v>
                </c:pt>
                <c:pt idx="28">
                  <c:v>Mizoram</c:v>
                </c:pt>
                <c:pt idx="29">
                  <c:v>Nagaland</c:v>
                </c:pt>
                <c:pt idx="30">
                  <c:v>Puducherry</c:v>
                </c:pt>
                <c:pt idx="31">
                  <c:v>Dadra and Nagar Haveli and Daman and Diu</c:v>
                </c:pt>
                <c:pt idx="32">
                  <c:v>Sikkim</c:v>
                </c:pt>
                <c:pt idx="33">
                  <c:v>Andaman and Nicobar Islands</c:v>
                </c:pt>
                <c:pt idx="34">
                  <c:v>Ladakh</c:v>
                </c:pt>
                <c:pt idx="35">
                  <c:v>Lakshadweep</c:v>
                </c:pt>
                <c:pt idx="36">
                  <c:v>(blank)</c:v>
                </c:pt>
              </c:strCache>
            </c:strRef>
          </c:cat>
          <c:val>
            <c:numRef>
              <c:f>population!$B$55:$B$92</c:f>
              <c:numCache>
                <c:formatCode>General</c:formatCode>
                <c:ptCount val="37"/>
                <c:pt idx="0">
                  <c:v>52143250</c:v>
                </c:pt>
                <c:pt idx="1">
                  <c:v>45474924</c:v>
                </c:pt>
                <c:pt idx="2">
                  <c:v>34445808</c:v>
                </c:pt>
                <c:pt idx="3">
                  <c:v>33960155</c:v>
                </c:pt>
                <c:pt idx="4">
                  <c:v>33700696</c:v>
                </c:pt>
                <c:pt idx="5">
                  <c:v>31958469</c:v>
                </c:pt>
                <c:pt idx="6">
                  <c:v>30971437</c:v>
                </c:pt>
                <c:pt idx="7">
                  <c:v>25405635</c:v>
                </c:pt>
                <c:pt idx="8">
                  <c:v>24202926</c:v>
                </c:pt>
                <c:pt idx="9">
                  <c:v>22650559</c:v>
                </c:pt>
                <c:pt idx="10">
                  <c:v>21114476</c:v>
                </c:pt>
                <c:pt idx="11">
                  <c:v>17251295</c:v>
                </c:pt>
                <c:pt idx="12">
                  <c:v>15095915</c:v>
                </c:pt>
                <c:pt idx="13">
                  <c:v>12433768</c:v>
                </c:pt>
                <c:pt idx="14">
                  <c:v>12138500</c:v>
                </c:pt>
                <c:pt idx="15">
                  <c:v>11582167</c:v>
                </c:pt>
                <c:pt idx="16">
                  <c:v>10381633</c:v>
                </c:pt>
                <c:pt idx="17">
                  <c:v>9999736</c:v>
                </c:pt>
                <c:pt idx="18">
                  <c:v>9939180</c:v>
                </c:pt>
                <c:pt idx="19">
                  <c:v>6487172</c:v>
                </c:pt>
                <c:pt idx="20">
                  <c:v>6272237</c:v>
                </c:pt>
                <c:pt idx="21">
                  <c:v>5405528</c:v>
                </c:pt>
                <c:pt idx="22">
                  <c:v>3186689</c:v>
                </c:pt>
                <c:pt idx="23">
                  <c:v>1358157</c:v>
                </c:pt>
                <c:pt idx="24">
                  <c:v>1356445</c:v>
                </c:pt>
                <c:pt idx="25">
                  <c:v>1123742</c:v>
                </c:pt>
                <c:pt idx="26">
                  <c:v>870600</c:v>
                </c:pt>
                <c:pt idx="27">
                  <c:v>860312</c:v>
                </c:pt>
                <c:pt idx="28">
                  <c:v>847086</c:v>
                </c:pt>
                <c:pt idx="29">
                  <c:v>779573</c:v>
                </c:pt>
                <c:pt idx="30">
                  <c:v>733142</c:v>
                </c:pt>
                <c:pt idx="31">
                  <c:v>644811</c:v>
                </c:pt>
                <c:pt idx="32">
                  <c:v>644762</c:v>
                </c:pt>
                <c:pt idx="33">
                  <c:v>305737</c:v>
                </c:pt>
                <c:pt idx="34">
                  <c:v>256629</c:v>
                </c:pt>
                <c:pt idx="35">
                  <c:v>67032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59-4207-B1E6-25B629DA1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55636608"/>
        <c:axId val="55637088"/>
      </c:barChart>
      <c:catAx>
        <c:axId val="5563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37088"/>
        <c:crosses val="autoZero"/>
        <c:auto val="1"/>
        <c:lblAlgn val="ctr"/>
        <c:lblOffset val="100"/>
        <c:noMultiLvlLbl val="0"/>
      </c:catAx>
      <c:valAx>
        <c:axId val="556370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vaccinated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3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[project2.o.xlsx]ACTIVE!PivotTable5</c:name>
    <c:fmtId val="5"/>
  </c:pivotSource>
  <c:chart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ACTIVE!$B$3</c:f>
              <c:strCache>
                <c:ptCount val="1"/>
                <c:pt idx="0">
                  <c:v>Sum of Active Cases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ACTIVE!$A$4:$A$41</c:f>
              <c:strCache>
                <c:ptCount val="37"/>
                <c:pt idx="0">
                  <c:v>Maharashtra</c:v>
                </c:pt>
                <c:pt idx="1">
                  <c:v>Kerala</c:v>
                </c:pt>
                <c:pt idx="2">
                  <c:v>Karnataka</c:v>
                </c:pt>
                <c:pt idx="3">
                  <c:v>Tamil Nadu</c:v>
                </c:pt>
                <c:pt idx="4">
                  <c:v>Delhi</c:v>
                </c:pt>
                <c:pt idx="5">
                  <c:v>Uttar Pradesh</c:v>
                </c:pt>
                <c:pt idx="6">
                  <c:v>West Bengal</c:v>
                </c:pt>
                <c:pt idx="7">
                  <c:v>Punjab</c:v>
                </c:pt>
                <c:pt idx="8">
                  <c:v>Andhra Pradesh</c:v>
                </c:pt>
                <c:pt idx="9">
                  <c:v>Chhattisgarh</c:v>
                </c:pt>
                <c:pt idx="10">
                  <c:v>Bihar</c:v>
                </c:pt>
                <c:pt idx="11">
                  <c:v>Gujarat</c:v>
                </c:pt>
                <c:pt idx="12">
                  <c:v>Madhya Pradesh</c:v>
                </c:pt>
                <c:pt idx="13">
                  <c:v>Haryana</c:v>
                </c:pt>
                <c:pt idx="14">
                  <c:v>Rajasthan</c:v>
                </c:pt>
                <c:pt idx="15">
                  <c:v>Odisha</c:v>
                </c:pt>
                <c:pt idx="16">
                  <c:v>Assam</c:v>
                </c:pt>
                <c:pt idx="17">
                  <c:v>Uttarakhand</c:v>
                </c:pt>
                <c:pt idx="18">
                  <c:v>Jharkhand</c:v>
                </c:pt>
                <c:pt idx="19">
                  <c:v>Jammu and Kashmir</c:v>
                </c:pt>
                <c:pt idx="20">
                  <c:v>Himachal Pradesh</c:v>
                </c:pt>
                <c:pt idx="21">
                  <c:v>Telangana</c:v>
                </c:pt>
                <c:pt idx="22">
                  <c:v>Goa</c:v>
                </c:pt>
                <c:pt idx="23">
                  <c:v>Manipur</c:v>
                </c:pt>
                <c:pt idx="24">
                  <c:v>Puducherry</c:v>
                </c:pt>
                <c:pt idx="25">
                  <c:v>Meghalaya</c:v>
                </c:pt>
                <c:pt idx="26">
                  <c:v>Chandigarh</c:v>
                </c:pt>
                <c:pt idx="27">
                  <c:v>Tripura</c:v>
                </c:pt>
                <c:pt idx="28">
                  <c:v>Nagaland</c:v>
                </c:pt>
                <c:pt idx="29">
                  <c:v>Mizoram</c:v>
                </c:pt>
                <c:pt idx="30">
                  <c:v>Sikkim</c:v>
                </c:pt>
                <c:pt idx="31">
                  <c:v>Arunachal Pradesh</c:v>
                </c:pt>
                <c:pt idx="32">
                  <c:v>Ladakh</c:v>
                </c:pt>
                <c:pt idx="33">
                  <c:v>Andaman and Nicobar Islands</c:v>
                </c:pt>
                <c:pt idx="34">
                  <c:v>Lakshadweep</c:v>
                </c:pt>
                <c:pt idx="35">
                  <c:v>Dadra and Nagar Haveli and Daman and Diu</c:v>
                </c:pt>
                <c:pt idx="36">
                  <c:v>(blank)</c:v>
                </c:pt>
              </c:strCache>
            </c:strRef>
          </c:cat>
          <c:val>
            <c:numRef>
              <c:f>ACTIVE!$B$4:$B$41</c:f>
              <c:numCache>
                <c:formatCode>General</c:formatCode>
                <c:ptCount val="37"/>
                <c:pt idx="0">
                  <c:v>25735</c:v>
                </c:pt>
                <c:pt idx="1">
                  <c:v>28860</c:v>
                </c:pt>
                <c:pt idx="2">
                  <c:v>5707</c:v>
                </c:pt>
                <c:pt idx="3">
                  <c:v>10033</c:v>
                </c:pt>
                <c:pt idx="4">
                  <c:v>4325</c:v>
                </c:pt>
                <c:pt idx="5">
                  <c:v>3541</c:v>
                </c:pt>
                <c:pt idx="6">
                  <c:v>5885</c:v>
                </c:pt>
                <c:pt idx="7">
                  <c:v>1079</c:v>
                </c:pt>
                <c:pt idx="8">
                  <c:v>755</c:v>
                </c:pt>
                <c:pt idx="9">
                  <c:v>861</c:v>
                </c:pt>
                <c:pt idx="10">
                  <c:v>934</c:v>
                </c:pt>
                <c:pt idx="11">
                  <c:v>2914</c:v>
                </c:pt>
                <c:pt idx="12">
                  <c:v>490</c:v>
                </c:pt>
                <c:pt idx="13">
                  <c:v>2655</c:v>
                </c:pt>
                <c:pt idx="14">
                  <c:v>939</c:v>
                </c:pt>
                <c:pt idx="15">
                  <c:v>627</c:v>
                </c:pt>
                <c:pt idx="16">
                  <c:v>395</c:v>
                </c:pt>
                <c:pt idx="17">
                  <c:v>787</c:v>
                </c:pt>
                <c:pt idx="18">
                  <c:v>284</c:v>
                </c:pt>
                <c:pt idx="19">
                  <c:v>447</c:v>
                </c:pt>
                <c:pt idx="20">
                  <c:v>507</c:v>
                </c:pt>
                <c:pt idx="21">
                  <c:v>4421</c:v>
                </c:pt>
                <c:pt idx="22">
                  <c:v>982</c:v>
                </c:pt>
                <c:pt idx="23">
                  <c:v>18</c:v>
                </c:pt>
                <c:pt idx="24">
                  <c:v>304</c:v>
                </c:pt>
                <c:pt idx="25">
                  <c:v>65</c:v>
                </c:pt>
                <c:pt idx="26">
                  <c:v>568</c:v>
                </c:pt>
                <c:pt idx="27">
                  <c:v>7</c:v>
                </c:pt>
                <c:pt idx="28">
                  <c:v>2</c:v>
                </c:pt>
                <c:pt idx="29">
                  <c:v>261</c:v>
                </c:pt>
                <c:pt idx="30">
                  <c:v>26</c:v>
                </c:pt>
                <c:pt idx="31">
                  <c:v>4</c:v>
                </c:pt>
                <c:pt idx="32">
                  <c:v>78</c:v>
                </c:pt>
                <c:pt idx="33">
                  <c:v>42</c:v>
                </c:pt>
                <c:pt idx="34">
                  <c:v>3</c:v>
                </c:pt>
                <c:pt idx="3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31-4D9E-87E2-8703041EB927}"/>
            </c:ext>
          </c:extLst>
        </c:ser>
        <c:ser>
          <c:idx val="1"/>
          <c:order val="1"/>
          <c:tx>
            <c:strRef>
              <c:f>ACTIVE!$C$3</c:f>
              <c:strCache>
                <c:ptCount val="1"/>
                <c:pt idx="0">
                  <c:v>Sum of Death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ACTIVE!$A$4:$A$41</c:f>
              <c:strCache>
                <c:ptCount val="37"/>
                <c:pt idx="0">
                  <c:v>Maharashtra</c:v>
                </c:pt>
                <c:pt idx="1">
                  <c:v>Kerala</c:v>
                </c:pt>
                <c:pt idx="2">
                  <c:v>Karnataka</c:v>
                </c:pt>
                <c:pt idx="3">
                  <c:v>Tamil Nadu</c:v>
                </c:pt>
                <c:pt idx="4">
                  <c:v>Delhi</c:v>
                </c:pt>
                <c:pt idx="5">
                  <c:v>Uttar Pradesh</c:v>
                </c:pt>
                <c:pt idx="6">
                  <c:v>West Bengal</c:v>
                </c:pt>
                <c:pt idx="7">
                  <c:v>Punjab</c:v>
                </c:pt>
                <c:pt idx="8">
                  <c:v>Andhra Pradesh</c:v>
                </c:pt>
                <c:pt idx="9">
                  <c:v>Chhattisgarh</c:v>
                </c:pt>
                <c:pt idx="10">
                  <c:v>Bihar</c:v>
                </c:pt>
                <c:pt idx="11">
                  <c:v>Gujarat</c:v>
                </c:pt>
                <c:pt idx="12">
                  <c:v>Madhya Pradesh</c:v>
                </c:pt>
                <c:pt idx="13">
                  <c:v>Haryana</c:v>
                </c:pt>
                <c:pt idx="14">
                  <c:v>Rajasthan</c:v>
                </c:pt>
                <c:pt idx="15">
                  <c:v>Odisha</c:v>
                </c:pt>
                <c:pt idx="16">
                  <c:v>Assam</c:v>
                </c:pt>
                <c:pt idx="17">
                  <c:v>Uttarakhand</c:v>
                </c:pt>
                <c:pt idx="18">
                  <c:v>Jharkhand</c:v>
                </c:pt>
                <c:pt idx="19">
                  <c:v>Jammu and Kashmir</c:v>
                </c:pt>
                <c:pt idx="20">
                  <c:v>Himachal Pradesh</c:v>
                </c:pt>
                <c:pt idx="21">
                  <c:v>Telangana</c:v>
                </c:pt>
                <c:pt idx="22">
                  <c:v>Goa</c:v>
                </c:pt>
                <c:pt idx="23">
                  <c:v>Manipur</c:v>
                </c:pt>
                <c:pt idx="24">
                  <c:v>Puducherry</c:v>
                </c:pt>
                <c:pt idx="25">
                  <c:v>Meghalaya</c:v>
                </c:pt>
                <c:pt idx="26">
                  <c:v>Chandigarh</c:v>
                </c:pt>
                <c:pt idx="27">
                  <c:v>Tripura</c:v>
                </c:pt>
                <c:pt idx="28">
                  <c:v>Nagaland</c:v>
                </c:pt>
                <c:pt idx="29">
                  <c:v>Mizoram</c:v>
                </c:pt>
                <c:pt idx="30">
                  <c:v>Sikkim</c:v>
                </c:pt>
                <c:pt idx="31">
                  <c:v>Arunachal Pradesh</c:v>
                </c:pt>
                <c:pt idx="32">
                  <c:v>Ladakh</c:v>
                </c:pt>
                <c:pt idx="33">
                  <c:v>Andaman and Nicobar Islands</c:v>
                </c:pt>
                <c:pt idx="34">
                  <c:v>Lakshadweep</c:v>
                </c:pt>
                <c:pt idx="35">
                  <c:v>Dadra and Nagar Haveli and Daman and Diu</c:v>
                </c:pt>
                <c:pt idx="36">
                  <c:v>(blank)</c:v>
                </c:pt>
              </c:strCache>
            </c:strRef>
          </c:cat>
          <c:val>
            <c:numRef>
              <c:f>ACTIVE!$C$4:$C$41</c:f>
              <c:numCache>
                <c:formatCode>General</c:formatCode>
                <c:ptCount val="37"/>
                <c:pt idx="0">
                  <c:v>147922</c:v>
                </c:pt>
                <c:pt idx="1">
                  <c:v>69993</c:v>
                </c:pt>
                <c:pt idx="2">
                  <c:v>40117</c:v>
                </c:pt>
                <c:pt idx="3">
                  <c:v>38026</c:v>
                </c:pt>
                <c:pt idx="4">
                  <c:v>26261</c:v>
                </c:pt>
                <c:pt idx="5">
                  <c:v>23538</c:v>
                </c:pt>
                <c:pt idx="6">
                  <c:v>21218</c:v>
                </c:pt>
                <c:pt idx="7">
                  <c:v>17773</c:v>
                </c:pt>
                <c:pt idx="8">
                  <c:v>14731</c:v>
                </c:pt>
                <c:pt idx="9">
                  <c:v>14036</c:v>
                </c:pt>
                <c:pt idx="10">
                  <c:v>12259</c:v>
                </c:pt>
                <c:pt idx="11">
                  <c:v>10946</c:v>
                </c:pt>
                <c:pt idx="12">
                  <c:v>10741</c:v>
                </c:pt>
                <c:pt idx="13">
                  <c:v>10624</c:v>
                </c:pt>
                <c:pt idx="14">
                  <c:v>9564</c:v>
                </c:pt>
                <c:pt idx="15">
                  <c:v>9126</c:v>
                </c:pt>
                <c:pt idx="16">
                  <c:v>7988</c:v>
                </c:pt>
                <c:pt idx="17">
                  <c:v>7696</c:v>
                </c:pt>
                <c:pt idx="18">
                  <c:v>5320</c:v>
                </c:pt>
                <c:pt idx="19">
                  <c:v>4756</c:v>
                </c:pt>
                <c:pt idx="20">
                  <c:v>4141</c:v>
                </c:pt>
                <c:pt idx="21">
                  <c:v>4111</c:v>
                </c:pt>
                <c:pt idx="22">
                  <c:v>3838</c:v>
                </c:pt>
                <c:pt idx="23">
                  <c:v>2120</c:v>
                </c:pt>
                <c:pt idx="24">
                  <c:v>1962</c:v>
                </c:pt>
                <c:pt idx="25">
                  <c:v>1594</c:v>
                </c:pt>
                <c:pt idx="26">
                  <c:v>1165</c:v>
                </c:pt>
                <c:pt idx="27">
                  <c:v>923</c:v>
                </c:pt>
                <c:pt idx="28">
                  <c:v>761</c:v>
                </c:pt>
                <c:pt idx="29">
                  <c:v>703</c:v>
                </c:pt>
                <c:pt idx="30">
                  <c:v>454</c:v>
                </c:pt>
                <c:pt idx="31">
                  <c:v>296</c:v>
                </c:pt>
                <c:pt idx="32">
                  <c:v>228</c:v>
                </c:pt>
                <c:pt idx="33">
                  <c:v>129</c:v>
                </c:pt>
                <c:pt idx="34">
                  <c:v>52</c:v>
                </c:pt>
                <c:pt idx="3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31-4D9E-87E2-8703041EB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847406752"/>
        <c:axId val="1847409152"/>
      </c:barChart>
      <c:catAx>
        <c:axId val="1847406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States/Uts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409152"/>
        <c:crosses val="autoZero"/>
        <c:auto val="1"/>
        <c:lblAlgn val="ctr"/>
        <c:lblOffset val="100"/>
        <c:noMultiLvlLbl val="0"/>
      </c:catAx>
      <c:valAx>
        <c:axId val="1847409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40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0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11" Type="http://schemas.openxmlformats.org/officeDocument/2006/relationships/image" Target="../media/image1.png"/><Relationship Id="rId5" Type="http://schemas.openxmlformats.org/officeDocument/2006/relationships/chart" Target="../charts/chart16.xml"/><Relationship Id="rId10" Type="http://schemas.openxmlformats.org/officeDocument/2006/relationships/chart" Target="../charts/chart21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</xdr:colOff>
      <xdr:row>1</xdr:row>
      <xdr:rowOff>87630</xdr:rowOff>
    </xdr:from>
    <xdr:to>
      <xdr:col>18</xdr:col>
      <xdr:colOff>441960</xdr:colOff>
      <xdr:row>21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F80394-3375-3BC7-A35D-FE6E1A98D1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91440</xdr:colOff>
      <xdr:row>1</xdr:row>
      <xdr:rowOff>106680</xdr:rowOff>
    </xdr:from>
    <xdr:to>
      <xdr:col>28</xdr:col>
      <xdr:colOff>426720</xdr:colOff>
      <xdr:row>21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591F98-B2A7-2FDC-C6CE-CDB2622F3E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533400</xdr:colOff>
      <xdr:row>1</xdr:row>
      <xdr:rowOff>49530</xdr:rowOff>
    </xdr:from>
    <xdr:to>
      <xdr:col>38</xdr:col>
      <xdr:colOff>251460</xdr:colOff>
      <xdr:row>21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940BA8-1446-2B4C-C5B1-E9CB36BDBE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137160</xdr:colOff>
      <xdr:row>56</xdr:row>
      <xdr:rowOff>167640</xdr:rowOff>
    </xdr:from>
    <xdr:to>
      <xdr:col>3</xdr:col>
      <xdr:colOff>815340</xdr:colOff>
      <xdr:row>69</xdr:row>
      <xdr:rowOff>110490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8FEE3E0-E03C-E184-A613-6421956300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76200</xdr:colOff>
      <xdr:row>56</xdr:row>
      <xdr:rowOff>167640</xdr:rowOff>
    </xdr:from>
    <xdr:to>
      <xdr:col>7</xdr:col>
      <xdr:colOff>381000</xdr:colOff>
      <xdr:row>69</xdr:row>
      <xdr:rowOff>144780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524628F-13D4-0EDB-B2BA-DF15FB9986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556260</xdr:colOff>
      <xdr:row>56</xdr:row>
      <xdr:rowOff>160020</xdr:rowOff>
    </xdr:from>
    <xdr:to>
      <xdr:col>13</xdr:col>
      <xdr:colOff>335280</xdr:colOff>
      <xdr:row>69</xdr:row>
      <xdr:rowOff>106680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D5D0FBD-0AD7-611B-A951-FD1BFB552C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205740</xdr:colOff>
      <xdr:row>0</xdr:row>
      <xdr:rowOff>125730</xdr:rowOff>
    </xdr:from>
    <xdr:to>
      <xdr:col>19</xdr:col>
      <xdr:colOff>22860</xdr:colOff>
      <xdr:row>15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9692D7-7770-2657-DFDD-6395E8ED67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205740</xdr:colOff>
      <xdr:row>1</xdr:row>
      <xdr:rowOff>26670</xdr:rowOff>
    </xdr:from>
    <xdr:to>
      <xdr:col>29</xdr:col>
      <xdr:colOff>129540</xdr:colOff>
      <xdr:row>15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6C3A5E-8749-ADC9-E0D5-6824DF57F0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868680</xdr:colOff>
      <xdr:row>32</xdr:row>
      <xdr:rowOff>41910</xdr:rowOff>
    </xdr:from>
    <xdr:to>
      <xdr:col>12</xdr:col>
      <xdr:colOff>220980</xdr:colOff>
      <xdr:row>47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05DC96-ABFD-2770-735F-0961D76F34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868680</xdr:colOff>
      <xdr:row>51</xdr:row>
      <xdr:rowOff>114300</xdr:rowOff>
    </xdr:from>
    <xdr:to>
      <xdr:col>32</xdr:col>
      <xdr:colOff>228600</xdr:colOff>
      <xdr:row>70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F6985B9-1149-6007-CEB7-2DE5548353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281940</xdr:colOff>
      <xdr:row>6</xdr:row>
      <xdr:rowOff>41910</xdr:rowOff>
    </xdr:from>
    <xdr:to>
      <xdr:col>18</xdr:col>
      <xdr:colOff>548640</xdr:colOff>
      <xdr:row>24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15D920-96FB-A14C-EF07-7C93C432CF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1874520</xdr:colOff>
      <xdr:row>3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1934948-950E-5917-07A0-91E7C93DA0AA}"/>
            </a:ext>
          </a:extLst>
        </xdr:cNvPr>
        <xdr:cNvSpPr/>
      </xdr:nvSpPr>
      <xdr:spPr>
        <a:xfrm>
          <a:off x="0" y="0"/>
          <a:ext cx="1874520" cy="5486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99060</xdr:colOff>
      <xdr:row>0</xdr:row>
      <xdr:rowOff>91440</xdr:rowOff>
    </xdr:from>
    <xdr:to>
      <xdr:col>0</xdr:col>
      <xdr:colOff>1752600</xdr:colOff>
      <xdr:row>2</xdr:row>
      <xdr:rowOff>7620</xdr:rowOff>
    </xdr:to>
    <xdr:sp macro="" textlink="">
      <xdr:nvSpPr>
        <xdr:cNvPr id="4097" name="Text Box 1">
          <a:extLst>
            <a:ext uri="{FF2B5EF4-FFF2-40B4-BE49-F238E27FC236}">
              <a16:creationId xmlns:a16="http://schemas.microsoft.com/office/drawing/2014/main" id="{5D84BA65-6B9D-0139-BE59-1861FF743663}"/>
            </a:ext>
          </a:extLst>
        </xdr:cNvPr>
        <xdr:cNvSpPr txBox="1">
          <a:spLocks noChangeArrowheads="1"/>
        </xdr:cNvSpPr>
      </xdr:nvSpPr>
      <xdr:spPr bwMode="auto">
        <a:xfrm>
          <a:off x="99060" y="91440"/>
          <a:ext cx="1653540" cy="2819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ctr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Aptos Narrow"/>
            </a:rPr>
            <a:t>Covid-19 Data:India</a:t>
          </a:r>
        </a:p>
      </xdr:txBody>
    </xdr:sp>
    <xdr:clientData/>
  </xdr:twoCellAnchor>
  <xdr:twoCellAnchor>
    <xdr:from>
      <xdr:col>1</xdr:col>
      <xdr:colOff>15240</xdr:colOff>
      <xdr:row>0</xdr:row>
      <xdr:rowOff>0</xdr:rowOff>
    </xdr:from>
    <xdr:to>
      <xdr:col>2</xdr:col>
      <xdr:colOff>45720</xdr:colOff>
      <xdr:row>2</xdr:row>
      <xdr:rowOff>152400</xdr:rowOff>
    </xdr:to>
    <xdr:sp macro="" textlink="B1">
      <xdr:nvSpPr>
        <xdr:cNvPr id="3" name="Rectangle: Rounded Corners 2">
          <a:extLst>
            <a:ext uri="{FF2B5EF4-FFF2-40B4-BE49-F238E27FC236}">
              <a16:creationId xmlns:a16="http://schemas.microsoft.com/office/drawing/2014/main" id="{44565DCE-21FC-05A9-5E64-8B8B07130F83}"/>
            </a:ext>
          </a:extLst>
        </xdr:cNvPr>
        <xdr:cNvSpPr/>
      </xdr:nvSpPr>
      <xdr:spPr>
        <a:xfrm>
          <a:off x="1920240" y="0"/>
          <a:ext cx="1295400" cy="5181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5170CB37-D890-4372-8482-9448A3C2BCC3}" type="TxLink">
            <a:rPr lang="en-US" sz="1100" b="1" i="0" u="none" strike="noStrike">
              <a:solidFill>
                <a:schemeClr val="bg1"/>
              </a:solidFill>
              <a:latin typeface="Aptos Narrow"/>
            </a:rPr>
            <a:t>Total Cases  43452164</a:t>
          </a:fld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60960</xdr:colOff>
      <xdr:row>0</xdr:row>
      <xdr:rowOff>0</xdr:rowOff>
    </xdr:from>
    <xdr:to>
      <xdr:col>3</xdr:col>
      <xdr:colOff>91440</xdr:colOff>
      <xdr:row>2</xdr:row>
      <xdr:rowOff>152400</xdr:rowOff>
    </xdr:to>
    <xdr:sp macro="" textlink="C1">
      <xdr:nvSpPr>
        <xdr:cNvPr id="5" name="Rectangle: Rounded Corners 4">
          <a:extLst>
            <a:ext uri="{FF2B5EF4-FFF2-40B4-BE49-F238E27FC236}">
              <a16:creationId xmlns:a16="http://schemas.microsoft.com/office/drawing/2014/main" id="{815E73FD-1873-4F48-A05F-2FC21BD788B8}"/>
            </a:ext>
          </a:extLst>
        </xdr:cNvPr>
        <xdr:cNvSpPr/>
      </xdr:nvSpPr>
      <xdr:spPr>
        <a:xfrm>
          <a:off x="3230880" y="0"/>
          <a:ext cx="640080" cy="5181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DE6EAB5-06BE-4BCB-87EF-D57DA51360B6}" type="TxLink">
            <a:rPr lang="en-US" sz="1100" b="0" i="0" u="none" strike="noStrike">
              <a:solidFill>
                <a:schemeClr val="bg1"/>
              </a:solidFill>
              <a:latin typeface="Aptos Narrow"/>
            </a:rPr>
            <a:t>Active 104555</a:t>
          </a:fld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83820</xdr:colOff>
      <xdr:row>0</xdr:row>
      <xdr:rowOff>0</xdr:rowOff>
    </xdr:from>
    <xdr:to>
      <xdr:col>4</xdr:col>
      <xdr:colOff>381000</xdr:colOff>
      <xdr:row>2</xdr:row>
      <xdr:rowOff>152400</xdr:rowOff>
    </xdr:to>
    <xdr:sp macro="" textlink="D1">
      <xdr:nvSpPr>
        <xdr:cNvPr id="6" name="Rectangle: Rounded Corners 5">
          <a:extLst>
            <a:ext uri="{FF2B5EF4-FFF2-40B4-BE49-F238E27FC236}">
              <a16:creationId xmlns:a16="http://schemas.microsoft.com/office/drawing/2014/main" id="{4FC711D5-C550-4ECF-85A9-20D584943826}"/>
            </a:ext>
          </a:extLst>
        </xdr:cNvPr>
        <xdr:cNvSpPr/>
      </xdr:nvSpPr>
      <xdr:spPr>
        <a:xfrm>
          <a:off x="3863340" y="0"/>
          <a:ext cx="906780" cy="5181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1A49828-ABC0-4044-A459-BA5CEFAC3009}" type="TxLink">
            <a:rPr lang="en-US" sz="1100" b="0" i="0" u="none" strike="noStrike">
              <a:solidFill>
                <a:schemeClr val="bg1"/>
              </a:solidFill>
              <a:latin typeface="Aptos Narrow"/>
            </a:rPr>
            <a:t>Recovered 42822493</a:t>
          </a:fld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426720</xdr:colOff>
      <xdr:row>0</xdr:row>
      <xdr:rowOff>0</xdr:rowOff>
    </xdr:from>
    <xdr:to>
      <xdr:col>5</xdr:col>
      <xdr:colOff>457200</xdr:colOff>
      <xdr:row>2</xdr:row>
      <xdr:rowOff>152400</xdr:rowOff>
    </xdr:to>
    <xdr:sp macro="" textlink="E1">
      <xdr:nvSpPr>
        <xdr:cNvPr id="7" name="Rectangle: Rounded Corners 6">
          <a:extLst>
            <a:ext uri="{FF2B5EF4-FFF2-40B4-BE49-F238E27FC236}">
              <a16:creationId xmlns:a16="http://schemas.microsoft.com/office/drawing/2014/main" id="{F2E9EA7E-4DEF-43B7-9153-ECF13A8B6C3B}"/>
            </a:ext>
          </a:extLst>
        </xdr:cNvPr>
        <xdr:cNvSpPr/>
      </xdr:nvSpPr>
      <xdr:spPr>
        <a:xfrm>
          <a:off x="4815840" y="0"/>
          <a:ext cx="640080" cy="5181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8B782A78-04FD-4A9B-94EF-7733B4659D40}" type="TxLink">
            <a:rPr lang="en-US" sz="1100" b="0" i="0" u="none" strike="noStrike">
              <a:solidFill>
                <a:schemeClr val="bg1"/>
              </a:solidFill>
              <a:latin typeface="Aptos Narrow"/>
            </a:rPr>
            <a:t>Death 525116</a:t>
          </a:fld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5</xdr:col>
      <xdr:colOff>297180</xdr:colOff>
      <xdr:row>36</xdr:row>
      <xdr:rowOff>133350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76825C9-145C-4F94-AB71-3A0BB61B01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350520</xdr:colOff>
      <xdr:row>17</xdr:row>
      <xdr:rowOff>22860</xdr:rowOff>
    </xdr:from>
    <xdr:to>
      <xdr:col>25</xdr:col>
      <xdr:colOff>68580</xdr:colOff>
      <xdr:row>37</xdr:row>
      <xdr:rowOff>34290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9142D24-5BDB-4670-9A50-1AEA351E88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464820</xdr:colOff>
      <xdr:row>17</xdr:row>
      <xdr:rowOff>15240</xdr:rowOff>
    </xdr:from>
    <xdr:to>
      <xdr:col>15</xdr:col>
      <xdr:colOff>190500</xdr:colOff>
      <xdr:row>36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778B46C-A1C4-4F0F-8FF0-64605CF001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3</xdr:col>
      <xdr:colOff>190500</xdr:colOff>
      <xdr:row>58</xdr:row>
      <xdr:rowOff>125730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76355CC-4F7B-4CDF-A899-F5D8C423F8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190500</xdr:colOff>
      <xdr:row>46</xdr:row>
      <xdr:rowOff>7620</xdr:rowOff>
    </xdr:from>
    <xdr:to>
      <xdr:col>10</xdr:col>
      <xdr:colOff>510540</xdr:colOff>
      <xdr:row>58</xdr:row>
      <xdr:rowOff>167640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AE43F0F-E546-4B55-B3C1-047DC92717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312420</xdr:colOff>
      <xdr:row>46</xdr:row>
      <xdr:rowOff>0</xdr:rowOff>
    </xdr:from>
    <xdr:to>
      <xdr:col>17</xdr:col>
      <xdr:colOff>541020</xdr:colOff>
      <xdr:row>58</xdr:row>
      <xdr:rowOff>129540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81A0B56-6BD5-4F60-B171-D5C6194692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63</xdr:row>
      <xdr:rowOff>0</xdr:rowOff>
    </xdr:from>
    <xdr:to>
      <xdr:col>2</xdr:col>
      <xdr:colOff>556260</xdr:colOff>
      <xdr:row>77</xdr:row>
      <xdr:rowOff>80010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9A68429-D7A2-40DE-8814-456F5ABC44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0</xdr:colOff>
      <xdr:row>63</xdr:row>
      <xdr:rowOff>0</xdr:rowOff>
    </xdr:from>
    <xdr:to>
      <xdr:col>10</xdr:col>
      <xdr:colOff>106680</xdr:colOff>
      <xdr:row>77</xdr:row>
      <xdr:rowOff>87630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5E2B681-0DF5-43AA-B0C0-09AB2B5156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85</xdr:row>
      <xdr:rowOff>0</xdr:rowOff>
    </xdr:from>
    <xdr:to>
      <xdr:col>16</xdr:col>
      <xdr:colOff>350520</xdr:colOff>
      <xdr:row>103</xdr:row>
      <xdr:rowOff>68580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B96D14C-84DF-42C6-99C7-587A2D89DA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110</xdr:row>
      <xdr:rowOff>0</xdr:rowOff>
    </xdr:from>
    <xdr:to>
      <xdr:col>12</xdr:col>
      <xdr:colOff>144780</xdr:colOff>
      <xdr:row>128</xdr:row>
      <xdr:rowOff>72390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75B1BD2-2F59-440C-B201-D624117087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6</xdr:col>
      <xdr:colOff>53341</xdr:colOff>
      <xdr:row>0</xdr:row>
      <xdr:rowOff>83820</xdr:rowOff>
    </xdr:from>
    <xdr:to>
      <xdr:col>12</xdr:col>
      <xdr:colOff>350521</xdr:colOff>
      <xdr:row>15</xdr:row>
      <xdr:rowOff>182880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19DD060-4901-CE7D-CB3E-363557176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661661" y="83820"/>
          <a:ext cx="3954780" cy="284226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uti Kumari" refreshedDate="46188.715927662037" createdVersion="8" refreshedVersion="8" minRefreshableVersion="3" recordCount="37" xr:uid="{835B6279-ACCF-4423-8154-8DE4E19438A4}">
  <cacheSource type="worksheet">
    <worksheetSource ref="A1:J38" sheet="DATA"/>
  </cacheSource>
  <cacheFields count="10">
    <cacheField name="State/UT" numFmtId="0">
      <sharedItems containsBlank="1" count="37">
        <m/>
        <s v="Andaman and Nicobar Islands"/>
        <s v="Andhra Pradesh"/>
        <s v="Arunachal Pradesh"/>
        <s v="Assam"/>
        <s v="Bihar"/>
        <s v="Chandigarh"/>
        <s v="Chhattisgarh"/>
        <s v="Dadra and Nagar Haveli and Daman and Diu"/>
        <s v="Delhi"/>
        <s v="Goa"/>
        <s v="Gujarat"/>
        <s v="Haryana"/>
        <s v="Himachal Pradesh"/>
        <s v="Jammu and Kashmir"/>
        <s v="Jharkhand"/>
        <s v="Karnataka"/>
        <s v="Kerala"/>
        <s v="Ladakh"/>
        <s v="Lakshadweep"/>
        <s v="Madhya Pradesh"/>
        <s v="Maharashtra"/>
        <s v="Manipur"/>
        <s v="Meghalaya"/>
        <s v="Mizoram"/>
        <s v="Nagaland"/>
        <s v="Odisha"/>
        <s v="Puducherry"/>
        <s v="Punjab"/>
        <s v="Rajasthan"/>
        <s v="Sikkim"/>
        <s v="Tamil Nadu"/>
        <s v="Telangana"/>
        <s v="Tripura"/>
        <s v="Uttar Pradesh"/>
        <s v="Uttarakhand"/>
        <s v="West Bengal"/>
      </sharedItems>
    </cacheField>
    <cacheField name="Zone" numFmtId="0">
      <sharedItems containsBlank="1" count="5">
        <m/>
        <s v="South"/>
        <s v="East"/>
        <s v="North"/>
        <s v="West"/>
      </sharedItems>
    </cacheField>
    <cacheField name="Confirmed Cases" numFmtId="0">
      <sharedItems containsString="0" containsBlank="1" containsNumber="1" containsInteger="1" minValue="10157" maxValue="7972474"/>
    </cacheField>
    <cacheField name="Active Cases" numFmtId="0">
      <sharedItems containsString="0" containsBlank="1" containsNumber="1" containsInteger="1" minValue="2" maxValue="28860"/>
    </cacheField>
    <cacheField name="Cured/Discharged" numFmtId="0">
      <sharedItems containsString="0" containsBlank="1" containsNumber="1" containsInteger="1" minValue="9986" maxValue="7798817"/>
    </cacheField>
    <cacheField name="Death" numFmtId="0">
      <sharedItems containsString="0" containsBlank="1" containsNumber="1" containsInteger="1" minValue="4" maxValue="147922" count="37">
        <m/>
        <n v="129"/>
        <n v="14731"/>
        <n v="296"/>
        <n v="7988"/>
        <n v="12259"/>
        <n v="1165"/>
        <n v="14036"/>
        <n v="4"/>
        <n v="26261"/>
        <n v="3838"/>
        <n v="10946"/>
        <n v="10624"/>
        <n v="4141"/>
        <n v="4756"/>
        <n v="5320"/>
        <n v="40117"/>
        <n v="69993"/>
        <n v="228"/>
        <n v="52"/>
        <n v="10741"/>
        <n v="147922"/>
        <n v="2120"/>
        <n v="1594"/>
        <n v="703"/>
        <n v="761"/>
        <n v="9126"/>
        <n v="1962"/>
        <n v="17773"/>
        <n v="9564"/>
        <n v="454"/>
        <n v="38026"/>
        <n v="4111"/>
        <n v="923"/>
        <n v="23538"/>
        <n v="7696"/>
        <n v="21218"/>
      </sharedItems>
    </cacheField>
    <cacheField name="Population" numFmtId="0">
      <sharedItems containsString="0" containsBlank="1" containsNumber="1" containsInteger="1" minValue="66001" maxValue="231502578"/>
    </cacheField>
    <cacheField name="Vaccine Dose-1" numFmtId="0">
      <sharedItems containsString="0" containsBlank="1" containsNumber="1" containsInteger="1" minValue="50596" maxValue="44001463"/>
    </cacheField>
    <cacheField name="Vaccine Dose-2" numFmtId="0">
      <sharedItems containsString="0" containsBlank="1" containsNumber="1" containsInteger="1" minValue="16436" maxValue="11535313"/>
    </cacheField>
    <cacheField name="Total Vaccinated" numFmtId="0">
      <sharedItems containsString="0" containsBlank="1" containsNumber="1" containsInteger="1" minValue="67032" maxValue="52143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x v="0"/>
    <m/>
    <m/>
    <m/>
    <x v="0"/>
    <m/>
    <m/>
    <m/>
    <m/>
  </r>
  <r>
    <x v="1"/>
    <x v="1"/>
    <n v="10157"/>
    <n v="42"/>
    <n v="9986"/>
    <x v="1"/>
    <n v="399001"/>
    <n v="212573"/>
    <n v="93164"/>
    <n v="305737"/>
  </r>
  <r>
    <x v="2"/>
    <x v="1"/>
    <n v="2321379"/>
    <n v="755"/>
    <n v="2305893"/>
    <x v="2"/>
    <n v="91702478"/>
    <n v="16786413"/>
    <n v="5864146"/>
    <n v="22650559"/>
  </r>
  <r>
    <x v="3"/>
    <x v="2"/>
    <n v="64518"/>
    <n v="4"/>
    <n v="64218"/>
    <x v="3"/>
    <n v="1711947"/>
    <n v="680809"/>
    <n v="179503"/>
    <n v="860312"/>
  </r>
  <r>
    <x v="4"/>
    <x v="2"/>
    <n v="724788"/>
    <n v="395"/>
    <n v="716405"/>
    <x v="4"/>
    <n v="35998752"/>
    <n v="9536378"/>
    <n v="2045789"/>
    <n v="11582167"/>
  </r>
  <r>
    <x v="5"/>
    <x v="2"/>
    <n v="832581"/>
    <n v="934"/>
    <n v="819388"/>
    <x v="5"/>
    <n v="128500364"/>
    <n v="21325253"/>
    <n v="4080382"/>
    <n v="25405635"/>
  </r>
  <r>
    <x v="6"/>
    <x v="3"/>
    <n v="93785"/>
    <n v="568"/>
    <n v="92052"/>
    <x v="6"/>
    <n v="1158040"/>
    <n v="664509"/>
    <n v="206091"/>
    <n v="870600"/>
  </r>
  <r>
    <x v="7"/>
    <x v="2"/>
    <n v="1154179"/>
    <n v="861"/>
    <n v="1139282"/>
    <x v="7"/>
    <n v="32199722"/>
    <n v="9719395"/>
    <n v="2419105"/>
    <n v="12138500"/>
  </r>
  <r>
    <x v="8"/>
    <x v="4"/>
    <n v="11474"/>
    <n v="14"/>
    <n v="11456"/>
    <x v="8"/>
    <n v="773997"/>
    <n v="568719"/>
    <n v="76092"/>
    <n v="644811"/>
  </r>
  <r>
    <x v="9"/>
    <x v="3"/>
    <n v="1934009"/>
    <n v="4325"/>
    <n v="1903423"/>
    <x v="9"/>
    <n v="19301096"/>
    <n v="7579306"/>
    <n v="2802327"/>
    <n v="10381633"/>
  </r>
  <r>
    <x v="10"/>
    <x v="4"/>
    <n v="248540"/>
    <n v="982"/>
    <n v="243720"/>
    <x v="10"/>
    <n v="1521992"/>
    <n v="1073972"/>
    <n v="282473"/>
    <n v="1356445"/>
  </r>
  <r>
    <x v="11"/>
    <x v="4"/>
    <n v="1231483"/>
    <n v="2914"/>
    <n v="1217623"/>
    <x v="11"/>
    <n v="70400153"/>
    <n v="26008632"/>
    <n v="8437176"/>
    <n v="34445808"/>
  </r>
  <r>
    <x v="12"/>
    <x v="3"/>
    <n v="1015501"/>
    <n v="2655"/>
    <n v="1002222"/>
    <x v="12"/>
    <n v="28900667"/>
    <n v="9721455"/>
    <n v="2712313"/>
    <n v="12433768"/>
  </r>
  <r>
    <x v="13"/>
    <x v="3"/>
    <n v="286061"/>
    <n v="507"/>
    <n v="281413"/>
    <x v="13"/>
    <n v="7503010"/>
    <n v="4083812"/>
    <n v="1321716"/>
    <n v="5405528"/>
  </r>
  <r>
    <x v="14"/>
    <x v="3"/>
    <n v="455006"/>
    <n v="447"/>
    <n v="449803"/>
    <x v="14"/>
    <n v="14999397"/>
    <n v="5094719"/>
    <n v="1392453"/>
    <n v="6487172"/>
  </r>
  <r>
    <x v="15"/>
    <x v="2"/>
    <n v="435858"/>
    <n v="284"/>
    <n v="430254"/>
    <x v="15"/>
    <n v="40100376"/>
    <n v="8040727"/>
    <n v="1898453"/>
    <n v="9939180"/>
  </r>
  <r>
    <x v="16"/>
    <x v="1"/>
    <n v="3968365"/>
    <n v="5707"/>
    <n v="3922541"/>
    <x v="16"/>
    <n v="69599762"/>
    <n v="24961662"/>
    <n v="6996807"/>
    <n v="31958469"/>
  </r>
  <r>
    <x v="17"/>
    <x v="1"/>
    <n v="6634722"/>
    <n v="28860"/>
    <n v="6535869"/>
    <x v="17"/>
    <n v="34698876"/>
    <n v="14882725"/>
    <n v="6231751"/>
    <n v="21114476"/>
  </r>
  <r>
    <x v="18"/>
    <x v="3"/>
    <n v="28411"/>
    <n v="78"/>
    <n v="28105"/>
    <x v="18"/>
    <n v="290492"/>
    <n v="187861"/>
    <n v="68768"/>
    <n v="256629"/>
  </r>
  <r>
    <x v="19"/>
    <x v="1"/>
    <n v="11408"/>
    <n v="3"/>
    <n v="11353"/>
    <x v="19"/>
    <n v="66001"/>
    <n v="50596"/>
    <n v="16436"/>
    <n v="67032"/>
  </r>
  <r>
    <x v="20"/>
    <x v="4"/>
    <n v="1044243"/>
    <n v="490"/>
    <n v="1033012"/>
    <x v="20"/>
    <n v="85002417"/>
    <n v="28300633"/>
    <n v="5400063"/>
    <n v="33700696"/>
  </r>
  <r>
    <x v="21"/>
    <x v="4"/>
    <n v="7972474"/>
    <n v="25735"/>
    <n v="7798817"/>
    <x v="21"/>
    <n v="124904071"/>
    <n v="33939611"/>
    <n v="11535313"/>
    <n v="45474924"/>
  </r>
  <r>
    <x v="22"/>
    <x v="2"/>
    <n v="137266"/>
    <n v="18"/>
    <n v="135128"/>
    <x v="22"/>
    <n v="3436948"/>
    <n v="1135285"/>
    <n v="222872"/>
    <n v="1358157"/>
  </r>
  <r>
    <x v="23"/>
    <x v="2"/>
    <n v="93947"/>
    <n v="65"/>
    <n v="92288"/>
    <x v="23"/>
    <n v="3772103"/>
    <n v="912096"/>
    <n v="211646"/>
    <n v="1123742"/>
  </r>
  <r>
    <x v="24"/>
    <x v="2"/>
    <n v="229048"/>
    <n v="261"/>
    <n v="228084"/>
    <x v="24"/>
    <n v="1308967"/>
    <n v="647051"/>
    <n v="200035"/>
    <n v="847086"/>
  </r>
  <r>
    <x v="25"/>
    <x v="2"/>
    <n v="35507"/>
    <n v="2"/>
    <n v="34744"/>
    <x v="25"/>
    <n v="2073074"/>
    <n v="625565"/>
    <n v="154008"/>
    <n v="779573"/>
  </r>
  <r>
    <x v="26"/>
    <x v="2"/>
    <n v="1289602"/>
    <n v="627"/>
    <n v="1279849"/>
    <x v="26"/>
    <n v="47099270"/>
    <n v="13209524"/>
    <n v="4041771"/>
    <n v="17251295"/>
  </r>
  <r>
    <x v="27"/>
    <x v="1"/>
    <n v="166438"/>
    <n v="304"/>
    <n v="164172"/>
    <x v="27"/>
    <n v="1646050"/>
    <n v="585119"/>
    <n v="148023"/>
    <n v="733142"/>
  </r>
  <r>
    <x v="28"/>
    <x v="3"/>
    <n v="762755"/>
    <n v="1079"/>
    <n v="743903"/>
    <x v="28"/>
    <n v="30501026"/>
    <n v="7909863"/>
    <n v="2089873"/>
    <n v="9999736"/>
  </r>
  <r>
    <x v="29"/>
    <x v="4"/>
    <n v="1288328"/>
    <n v="939"/>
    <n v="1277825"/>
    <x v="29"/>
    <n v="79502477"/>
    <n v="26006350"/>
    <n v="7953805"/>
    <n v="33960155"/>
  </r>
  <r>
    <x v="30"/>
    <x v="2"/>
    <n v="39224"/>
    <n v="26"/>
    <n v="38744"/>
    <x v="30"/>
    <n v="658019"/>
    <n v="494904"/>
    <n v="149858"/>
    <n v="644762"/>
  </r>
  <r>
    <x v="31"/>
    <x v="1"/>
    <n v="3473116"/>
    <n v="10033"/>
    <n v="3425057"/>
    <x v="31"/>
    <n v="83697770"/>
    <n v="19764021"/>
    <n v="4438905"/>
    <n v="24202926"/>
  </r>
  <r>
    <x v="32"/>
    <x v="1"/>
    <n v="800476"/>
    <n v="4421"/>
    <n v="791944"/>
    <x v="32"/>
    <n v="38157311"/>
    <n v="11446097"/>
    <n v="3649818"/>
    <n v="15095915"/>
  </r>
  <r>
    <x v="33"/>
    <x v="2"/>
    <n v="100901"/>
    <n v="7"/>
    <n v="99971"/>
    <x v="33"/>
    <n v="4184959"/>
    <n v="2393111"/>
    <n v="793578"/>
    <n v="3186689"/>
  </r>
  <r>
    <x v="34"/>
    <x v="3"/>
    <n v="2090050"/>
    <n v="3541"/>
    <n v="2062971"/>
    <x v="34"/>
    <n v="231502578"/>
    <n v="44001463"/>
    <n v="8141787"/>
    <n v="52143250"/>
  </r>
  <r>
    <x v="35"/>
    <x v="3"/>
    <n v="438663"/>
    <n v="787"/>
    <n v="430180"/>
    <x v="35"/>
    <n v="11700099"/>
    <n v="4768700"/>
    <n v="1503537"/>
    <n v="6272237"/>
  </r>
  <r>
    <x v="36"/>
    <x v="2"/>
    <n v="2027901"/>
    <n v="5885"/>
    <n v="2000798"/>
    <x v="36"/>
    <n v="100896618"/>
    <n v="22062392"/>
    <n v="8909045"/>
    <n v="309714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A756F1-C73A-4DD2-AB31-AE30BBCC2270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D3:E41" firstHeaderRow="1" firstDataRow="1" firstDataCol="1"/>
  <pivotFields count="10">
    <pivotField axis="axisRow" showAll="0" sortType="descending">
      <items count="38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38">
    <i>
      <x v="20"/>
    </i>
    <i>
      <x v="16"/>
    </i>
    <i>
      <x v="15"/>
    </i>
    <i>
      <x v="30"/>
    </i>
    <i>
      <x v="1"/>
    </i>
    <i>
      <x v="33"/>
    </i>
    <i>
      <x v="35"/>
    </i>
    <i>
      <x v="8"/>
    </i>
    <i>
      <x v="25"/>
    </i>
    <i>
      <x v="28"/>
    </i>
    <i>
      <x v="10"/>
    </i>
    <i>
      <x v="6"/>
    </i>
    <i>
      <x v="19"/>
    </i>
    <i>
      <x v="11"/>
    </i>
    <i>
      <x v="4"/>
    </i>
    <i>
      <x v="31"/>
    </i>
    <i>
      <x v="27"/>
    </i>
    <i>
      <x v="3"/>
    </i>
    <i>
      <x v="13"/>
    </i>
    <i>
      <x v="14"/>
    </i>
    <i>
      <x v="34"/>
    </i>
    <i>
      <x v="12"/>
    </i>
    <i>
      <x v="9"/>
    </i>
    <i>
      <x v="23"/>
    </i>
    <i>
      <x v="26"/>
    </i>
    <i>
      <x v="21"/>
    </i>
    <i>
      <x v="32"/>
    </i>
    <i>
      <x v="22"/>
    </i>
    <i>
      <x v="5"/>
    </i>
    <i>
      <x v="2"/>
    </i>
    <i>
      <x v="29"/>
    </i>
    <i>
      <x v="24"/>
    </i>
    <i>
      <x v="17"/>
    </i>
    <i>
      <x v="7"/>
    </i>
    <i>
      <x v="18"/>
    </i>
    <i>
      <x/>
    </i>
    <i>
      <x v="36"/>
    </i>
    <i t="grand">
      <x/>
    </i>
  </rowItems>
  <colItems count="1">
    <i/>
  </colItems>
  <dataFields count="1">
    <dataField name="Sum of Cured/Discharged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1157B8-3BAD-4AE8-8982-A97457CDF794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41" firstHeaderRow="1" firstDataRow="1" firstDataCol="1"/>
  <pivotFields count="10">
    <pivotField axis="axisRow" showAll="0" sortType="descending">
      <items count="38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8">
    <i>
      <x v="16"/>
    </i>
    <i>
      <x v="20"/>
    </i>
    <i>
      <x v="30"/>
    </i>
    <i>
      <x v="35"/>
    </i>
    <i>
      <x v="15"/>
    </i>
    <i>
      <x v="31"/>
    </i>
    <i>
      <x v="8"/>
    </i>
    <i>
      <x v="33"/>
    </i>
    <i>
      <x v="10"/>
    </i>
    <i>
      <x v="11"/>
    </i>
    <i>
      <x v="27"/>
    </i>
    <i>
      <x v="9"/>
    </i>
    <i>
      <x v="28"/>
    </i>
    <i>
      <x v="4"/>
    </i>
    <i>
      <x v="6"/>
    </i>
    <i>
      <x v="34"/>
    </i>
    <i>
      <x v="1"/>
    </i>
    <i>
      <x v="25"/>
    </i>
    <i>
      <x v="5"/>
    </i>
    <i>
      <x v="12"/>
    </i>
    <i>
      <x v="19"/>
    </i>
    <i>
      <x v="13"/>
    </i>
    <i>
      <x v="3"/>
    </i>
    <i>
      <x v="26"/>
    </i>
    <i>
      <x v="14"/>
    </i>
    <i>
      <x v="23"/>
    </i>
    <i>
      <x v="17"/>
    </i>
    <i>
      <x v="22"/>
    </i>
    <i>
      <x/>
    </i>
    <i>
      <x v="29"/>
    </i>
    <i>
      <x v="21"/>
    </i>
    <i>
      <x v="7"/>
    </i>
    <i>
      <x v="32"/>
    </i>
    <i>
      <x v="2"/>
    </i>
    <i>
      <x v="18"/>
    </i>
    <i>
      <x v="24"/>
    </i>
    <i>
      <x v="36"/>
    </i>
    <i t="grand">
      <x/>
    </i>
  </rowItems>
  <colItems count="1">
    <i/>
  </colItems>
  <dataFields count="1">
    <dataField name="Sum of Active Cases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47C95F-E136-4358-B794-801507CB28EC}" name="PivotTable9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H48:I54" firstHeaderRow="1" firstDataRow="1" firstDataCol="1"/>
  <pivotFields count="10">
    <pivotField showAll="0">
      <items count="38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0"/>
        <item t="default"/>
      </items>
    </pivotField>
    <pivotField axis="axisRow" showAll="0" sortType="descending">
      <items count="6">
        <item x="0"/>
        <item x="4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6">
    <i>
      <x v="1"/>
    </i>
    <i>
      <x v="2"/>
    </i>
    <i>
      <x v="3"/>
    </i>
    <i>
      <x v="4"/>
    </i>
    <i>
      <x/>
    </i>
    <i t="grand">
      <x/>
    </i>
  </rowItems>
  <colItems count="1">
    <i/>
  </colItems>
  <dataFields count="1">
    <dataField name="Sum of Death" fld="5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69D557-32BB-4577-BA4A-B5CF4BE2CDEB}" name="PivotTable8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D48:E54" firstHeaderRow="1" firstDataRow="1" firstDataCol="1"/>
  <pivotFields count="10">
    <pivotField showAll="0">
      <items count="38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0"/>
        <item t="default"/>
      </items>
    </pivotField>
    <pivotField axis="axisRow" showAll="0" sortType="descending">
      <items count="6">
        <item x="2"/>
        <item x="3"/>
        <item x="1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6">
    <i>
      <x v="2"/>
    </i>
    <i>
      <x v="3"/>
    </i>
    <i>
      <x/>
    </i>
    <i>
      <x v="1"/>
    </i>
    <i>
      <x v="4"/>
    </i>
    <i t="grand">
      <x/>
    </i>
  </rowItems>
  <colItems count="1">
    <i/>
  </colItems>
  <dataFields count="1">
    <dataField name="Sum of Cured/Discharged" fld="4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20E26B-B8A9-45B4-8E3D-E0EF6DC219FE}" name="PivotTable7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48:B54" firstHeaderRow="1" firstDataRow="1" firstDataCol="1"/>
  <pivotFields count="10">
    <pivotField showAll="0" sortType="descending">
      <items count="38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6">
        <item x="2"/>
        <item x="3"/>
        <item x="1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 v="2"/>
    </i>
    <i>
      <x v="3"/>
    </i>
    <i>
      <x v="1"/>
    </i>
    <i>
      <x/>
    </i>
    <i>
      <x v="4"/>
    </i>
    <i t="grand">
      <x/>
    </i>
  </rowItems>
  <colItems count="1">
    <i/>
  </colItems>
  <dataFields count="1">
    <dataField name="Sum of Active Cases" fld="3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201D39-45A7-43FD-B0F4-515EF56DED69}" name="PivotTable6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H3:I41" firstHeaderRow="1" firstDataRow="1" firstDataCol="1"/>
  <pivotFields count="10">
    <pivotField axis="axisRow" showAll="0" sortType="descending">
      <items count="38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38">
    <i>
      <x v="20"/>
    </i>
    <i>
      <x v="16"/>
    </i>
    <i>
      <x v="15"/>
    </i>
    <i>
      <x v="30"/>
    </i>
    <i>
      <x v="8"/>
    </i>
    <i>
      <x v="33"/>
    </i>
    <i>
      <x v="35"/>
    </i>
    <i>
      <x v="27"/>
    </i>
    <i>
      <x v="1"/>
    </i>
    <i>
      <x v="6"/>
    </i>
    <i>
      <x v="4"/>
    </i>
    <i>
      <x v="10"/>
    </i>
    <i>
      <x v="19"/>
    </i>
    <i>
      <x v="11"/>
    </i>
    <i>
      <x v="28"/>
    </i>
    <i>
      <x v="25"/>
    </i>
    <i>
      <x v="3"/>
    </i>
    <i>
      <x v="34"/>
    </i>
    <i>
      <x v="14"/>
    </i>
    <i>
      <x v="13"/>
    </i>
    <i>
      <x v="12"/>
    </i>
    <i>
      <x v="31"/>
    </i>
    <i>
      <x v="9"/>
    </i>
    <i>
      <x v="21"/>
    </i>
    <i>
      <x v="26"/>
    </i>
    <i>
      <x v="22"/>
    </i>
    <i>
      <x v="5"/>
    </i>
    <i>
      <x v="32"/>
    </i>
    <i>
      <x v="24"/>
    </i>
    <i>
      <x v="23"/>
    </i>
    <i>
      <x v="29"/>
    </i>
    <i>
      <x v="2"/>
    </i>
    <i>
      <x v="17"/>
    </i>
    <i>
      <x/>
    </i>
    <i>
      <x v="18"/>
    </i>
    <i>
      <x v="7"/>
    </i>
    <i>
      <x v="36"/>
    </i>
    <i t="grand">
      <x/>
    </i>
  </rowItems>
  <colItems count="1">
    <i/>
  </colItems>
  <dataFields count="1">
    <dataField name="Sum of Death" fld="5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D19CBB-75DC-4B64-9314-4964BCAC0652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54:B92" firstHeaderRow="1" firstDataRow="1" firstDataCol="1"/>
  <pivotFields count="10">
    <pivotField axis="axisRow" showAll="0" sortType="descending">
      <items count="38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2"/>
        <item x="3"/>
        <item x="1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38">
    <i>
      <x v="33"/>
    </i>
    <i>
      <x v="20"/>
    </i>
    <i>
      <x v="10"/>
    </i>
    <i>
      <x v="28"/>
    </i>
    <i>
      <x v="19"/>
    </i>
    <i>
      <x v="15"/>
    </i>
    <i>
      <x v="35"/>
    </i>
    <i>
      <x v="4"/>
    </i>
    <i>
      <x v="30"/>
    </i>
    <i>
      <x v="1"/>
    </i>
    <i>
      <x v="16"/>
    </i>
    <i>
      <x v="25"/>
    </i>
    <i>
      <x v="31"/>
    </i>
    <i>
      <x v="11"/>
    </i>
    <i>
      <x v="6"/>
    </i>
    <i>
      <x v="3"/>
    </i>
    <i>
      <x v="8"/>
    </i>
    <i>
      <x v="27"/>
    </i>
    <i>
      <x v="14"/>
    </i>
    <i>
      <x v="13"/>
    </i>
    <i>
      <x v="34"/>
    </i>
    <i>
      <x v="12"/>
    </i>
    <i>
      <x v="32"/>
    </i>
    <i>
      <x v="21"/>
    </i>
    <i>
      <x v="9"/>
    </i>
    <i>
      <x v="22"/>
    </i>
    <i>
      <x v="5"/>
    </i>
    <i>
      <x v="2"/>
    </i>
    <i>
      <x v="23"/>
    </i>
    <i>
      <x v="24"/>
    </i>
    <i>
      <x v="26"/>
    </i>
    <i>
      <x v="7"/>
    </i>
    <i>
      <x v="29"/>
    </i>
    <i>
      <x/>
    </i>
    <i>
      <x v="17"/>
    </i>
    <i>
      <x v="18"/>
    </i>
    <i>
      <x v="36"/>
    </i>
    <i t="grand">
      <x/>
    </i>
  </rowItems>
  <colItems count="1">
    <i/>
  </colItems>
  <dataFields count="1">
    <dataField name="Sum of Total Vaccinated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5F5F3-425F-4A0F-85BB-39C27AD4CD18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4:B50" firstHeaderRow="1" firstDataRow="1" firstDataCol="1"/>
  <pivotFields count="10">
    <pivotField showAll="0">
      <items count="38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0"/>
        <item t="default"/>
      </items>
    </pivotField>
    <pivotField axis="axisRow" showAll="0">
      <items count="6">
        <item x="2"/>
        <item x="3"/>
        <item x="1"/>
        <item x="4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opulation" fld="6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8B4550-8184-4926-B13D-038319FBABFA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40" firstHeaderRow="1" firstDataRow="1" firstDataCol="1"/>
  <pivotFields count="10">
    <pivotField axis="axisRow" showAll="0" sortType="descending">
      <items count="38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2"/>
        <item x="3"/>
        <item x="1"/>
        <item x="4"/>
        <item x="0"/>
        <item t="default"/>
      </items>
    </pivotField>
    <pivotField showAll="0"/>
    <pivotField showAll="0"/>
    <pivotField showAll="0"/>
    <pivotField showAll="0">
      <items count="38">
        <item x="8"/>
        <item x="19"/>
        <item x="1"/>
        <item x="18"/>
        <item x="3"/>
        <item x="30"/>
        <item x="24"/>
        <item x="25"/>
        <item x="33"/>
        <item x="6"/>
        <item x="23"/>
        <item x="27"/>
        <item x="22"/>
        <item x="10"/>
        <item x="32"/>
        <item x="13"/>
        <item x="14"/>
        <item x="15"/>
        <item x="35"/>
        <item x="4"/>
        <item x="26"/>
        <item x="29"/>
        <item x="12"/>
        <item x="20"/>
        <item x="11"/>
        <item x="5"/>
        <item x="7"/>
        <item x="2"/>
        <item x="28"/>
        <item x="36"/>
        <item x="34"/>
        <item x="9"/>
        <item x="31"/>
        <item x="16"/>
        <item x="17"/>
        <item x="21"/>
        <item x="0"/>
        <item t="default"/>
      </items>
    </pivotField>
    <pivotField dataField="1" showAll="0"/>
    <pivotField showAll="0"/>
    <pivotField showAll="0"/>
    <pivotField showAll="0"/>
  </pivotFields>
  <rowFields count="1">
    <field x="0"/>
  </rowFields>
  <rowItems count="38">
    <i>
      <x v="33"/>
    </i>
    <i>
      <x v="4"/>
    </i>
    <i>
      <x v="20"/>
    </i>
    <i>
      <x v="35"/>
    </i>
    <i>
      <x v="1"/>
    </i>
    <i>
      <x v="19"/>
    </i>
    <i>
      <x v="30"/>
    </i>
    <i>
      <x v="28"/>
    </i>
    <i>
      <x v="10"/>
    </i>
    <i>
      <x v="15"/>
    </i>
    <i>
      <x v="25"/>
    </i>
    <i>
      <x v="14"/>
    </i>
    <i>
      <x v="31"/>
    </i>
    <i>
      <x v="3"/>
    </i>
    <i>
      <x v="16"/>
    </i>
    <i>
      <x v="6"/>
    </i>
    <i>
      <x v="27"/>
    </i>
    <i>
      <x v="11"/>
    </i>
    <i>
      <x v="8"/>
    </i>
    <i>
      <x v="13"/>
    </i>
    <i>
      <x v="34"/>
    </i>
    <i>
      <x v="12"/>
    </i>
    <i>
      <x v="32"/>
    </i>
    <i>
      <x v="22"/>
    </i>
    <i>
      <x v="21"/>
    </i>
    <i>
      <x v="24"/>
    </i>
    <i>
      <x v="2"/>
    </i>
    <i>
      <x v="26"/>
    </i>
    <i>
      <x v="9"/>
    </i>
    <i>
      <x v="23"/>
    </i>
    <i>
      <x v="5"/>
    </i>
    <i>
      <x v="7"/>
    </i>
    <i>
      <x v="29"/>
    </i>
    <i>
      <x/>
    </i>
    <i>
      <x v="17"/>
    </i>
    <i>
      <x v="18"/>
    </i>
    <i>
      <x v="36"/>
    </i>
    <i t="grand">
      <x/>
    </i>
  </rowItems>
  <colItems count="1">
    <i/>
  </colItems>
  <dataFields count="1">
    <dataField name="Sum of Population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EECAB6-3B90-4109-A071-58EC9005D145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41" firstHeaderRow="0" firstDataRow="1" firstDataCol="1"/>
  <pivotFields count="10">
    <pivotField axis="axisRow" showAll="0" sortType="descending">
      <items count="38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38">
    <i>
      <x v="20"/>
    </i>
    <i>
      <x v="16"/>
    </i>
    <i>
      <x v="15"/>
    </i>
    <i>
      <x v="30"/>
    </i>
    <i>
      <x v="8"/>
    </i>
    <i>
      <x v="33"/>
    </i>
    <i>
      <x v="35"/>
    </i>
    <i>
      <x v="27"/>
    </i>
    <i>
      <x v="1"/>
    </i>
    <i>
      <x v="6"/>
    </i>
    <i>
      <x v="4"/>
    </i>
    <i>
      <x v="10"/>
    </i>
    <i>
      <x v="19"/>
    </i>
    <i>
      <x v="11"/>
    </i>
    <i>
      <x v="28"/>
    </i>
    <i>
      <x v="25"/>
    </i>
    <i>
      <x v="3"/>
    </i>
    <i>
      <x v="34"/>
    </i>
    <i>
      <x v="14"/>
    </i>
    <i>
      <x v="13"/>
    </i>
    <i>
      <x v="12"/>
    </i>
    <i>
      <x v="31"/>
    </i>
    <i>
      <x v="9"/>
    </i>
    <i>
      <x v="21"/>
    </i>
    <i>
      <x v="26"/>
    </i>
    <i>
      <x v="22"/>
    </i>
    <i>
      <x v="5"/>
    </i>
    <i>
      <x v="32"/>
    </i>
    <i>
      <x v="24"/>
    </i>
    <i>
      <x v="23"/>
    </i>
    <i>
      <x v="29"/>
    </i>
    <i>
      <x v="2"/>
    </i>
    <i>
      <x v="17"/>
    </i>
    <i>
      <x/>
    </i>
    <i>
      <x v="18"/>
    </i>
    <i>
      <x v="7"/>
    </i>
    <i>
      <x v="3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ctive Cases" fld="3" baseField="0" baseItem="0"/>
    <dataField name="Sum of Death" fld="5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0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A1FE-1296-4016-AF02-1FD12C866251}">
  <dimension ref="A3:I64"/>
  <sheetViews>
    <sheetView topLeftCell="C39" workbookViewId="0">
      <selection activeCell="AB27" sqref="AB27"/>
    </sheetView>
  </sheetViews>
  <sheetFormatPr defaultRowHeight="14.4" x14ac:dyDescent="0.3"/>
  <cols>
    <col min="1" max="1" width="12.44140625" bestFit="1" customWidth="1"/>
    <col min="2" max="3" width="17.77734375" bestFit="1" customWidth="1"/>
    <col min="4" max="4" width="12.44140625" bestFit="1" customWidth="1"/>
    <col min="5" max="6" width="22.33203125" bestFit="1" customWidth="1"/>
    <col min="8" max="8" width="12.44140625" bestFit="1" customWidth="1"/>
    <col min="9" max="9" width="11.88671875" bestFit="1" customWidth="1"/>
  </cols>
  <sheetData>
    <row r="3" spans="1:9" x14ac:dyDescent="0.3">
      <c r="A3" s="6" t="s">
        <v>51</v>
      </c>
      <c r="B3" t="s">
        <v>54</v>
      </c>
      <c r="D3" s="6" t="s">
        <v>51</v>
      </c>
      <c r="E3" t="s">
        <v>55</v>
      </c>
      <c r="H3" s="6" t="s">
        <v>51</v>
      </c>
      <c r="I3" t="s">
        <v>56</v>
      </c>
    </row>
    <row r="4" spans="1:9" x14ac:dyDescent="0.3">
      <c r="A4" s="7" t="s">
        <v>21</v>
      </c>
      <c r="B4">
        <v>28860</v>
      </c>
      <c r="D4" s="7" t="s">
        <v>25</v>
      </c>
      <c r="E4">
        <v>7798817</v>
      </c>
      <c r="H4" s="7" t="s">
        <v>25</v>
      </c>
      <c r="I4">
        <v>147922</v>
      </c>
    </row>
    <row r="5" spans="1:9" x14ac:dyDescent="0.3">
      <c r="A5" s="7" t="s">
        <v>25</v>
      </c>
      <c r="B5">
        <v>25735</v>
      </c>
      <c r="D5" s="7" t="s">
        <v>21</v>
      </c>
      <c r="E5">
        <v>6535869</v>
      </c>
      <c r="H5" s="7" t="s">
        <v>21</v>
      </c>
      <c r="I5">
        <v>69993</v>
      </c>
    </row>
    <row r="6" spans="1:9" x14ac:dyDescent="0.3">
      <c r="A6" s="7" t="s">
        <v>35</v>
      </c>
      <c r="B6">
        <v>10033</v>
      </c>
      <c r="D6" s="7" t="s">
        <v>20</v>
      </c>
      <c r="E6">
        <v>3922541</v>
      </c>
      <c r="H6" s="7" t="s">
        <v>20</v>
      </c>
      <c r="I6">
        <v>40117</v>
      </c>
    </row>
    <row r="7" spans="1:9" x14ac:dyDescent="0.3">
      <c r="A7" s="7" t="s">
        <v>40</v>
      </c>
      <c r="B7">
        <v>5885</v>
      </c>
      <c r="D7" s="7" t="s">
        <v>35</v>
      </c>
      <c r="E7">
        <v>3425057</v>
      </c>
      <c r="H7" s="7" t="s">
        <v>35</v>
      </c>
      <c r="I7">
        <v>38026</v>
      </c>
    </row>
    <row r="8" spans="1:9" x14ac:dyDescent="0.3">
      <c r="A8" s="7" t="s">
        <v>20</v>
      </c>
      <c r="B8">
        <v>5707</v>
      </c>
      <c r="D8" s="7" t="s">
        <v>6</v>
      </c>
      <c r="E8">
        <v>2305893</v>
      </c>
      <c r="H8" s="7" t="s">
        <v>13</v>
      </c>
      <c r="I8">
        <v>26261</v>
      </c>
    </row>
    <row r="9" spans="1:9" x14ac:dyDescent="0.3">
      <c r="A9" s="7" t="s">
        <v>36</v>
      </c>
      <c r="B9">
        <v>4421</v>
      </c>
      <c r="D9" s="7" t="s">
        <v>38</v>
      </c>
      <c r="E9">
        <v>2062971</v>
      </c>
      <c r="H9" s="7" t="s">
        <v>38</v>
      </c>
      <c r="I9">
        <v>23538</v>
      </c>
    </row>
    <row r="10" spans="1:9" x14ac:dyDescent="0.3">
      <c r="A10" s="7" t="s">
        <v>13</v>
      </c>
      <c r="B10">
        <v>4325</v>
      </c>
      <c r="D10" s="7" t="s">
        <v>40</v>
      </c>
      <c r="E10">
        <v>2000798</v>
      </c>
      <c r="H10" s="7" t="s">
        <v>40</v>
      </c>
      <c r="I10">
        <v>21218</v>
      </c>
    </row>
    <row r="11" spans="1:9" x14ac:dyDescent="0.3">
      <c r="A11" s="7" t="s">
        <v>38</v>
      </c>
      <c r="B11">
        <v>3541</v>
      </c>
      <c r="D11" s="7" t="s">
        <v>13</v>
      </c>
      <c r="E11">
        <v>1903423</v>
      </c>
      <c r="H11" s="7" t="s">
        <v>32</v>
      </c>
      <c r="I11">
        <v>17773</v>
      </c>
    </row>
    <row r="12" spans="1:9" x14ac:dyDescent="0.3">
      <c r="A12" s="7" t="s">
        <v>15</v>
      </c>
      <c r="B12">
        <v>2914</v>
      </c>
      <c r="D12" s="7" t="s">
        <v>30</v>
      </c>
      <c r="E12">
        <v>1279849</v>
      </c>
      <c r="H12" s="7" t="s">
        <v>6</v>
      </c>
      <c r="I12">
        <v>14731</v>
      </c>
    </row>
    <row r="13" spans="1:9" x14ac:dyDescent="0.3">
      <c r="A13" s="7" t="s">
        <v>16</v>
      </c>
      <c r="B13">
        <v>2655</v>
      </c>
      <c r="D13" s="7" t="s">
        <v>33</v>
      </c>
      <c r="E13">
        <v>1277825</v>
      </c>
      <c r="H13" s="7" t="s">
        <v>11</v>
      </c>
      <c r="I13">
        <v>14036</v>
      </c>
    </row>
    <row r="14" spans="1:9" x14ac:dyDescent="0.3">
      <c r="A14" s="7" t="s">
        <v>32</v>
      </c>
      <c r="B14">
        <v>1079</v>
      </c>
      <c r="D14" s="7" t="s">
        <v>15</v>
      </c>
      <c r="E14">
        <v>1217623</v>
      </c>
      <c r="H14" s="7" t="s">
        <v>9</v>
      </c>
      <c r="I14">
        <v>12259</v>
      </c>
    </row>
    <row r="15" spans="1:9" x14ac:dyDescent="0.3">
      <c r="A15" s="7" t="s">
        <v>14</v>
      </c>
      <c r="B15">
        <v>982</v>
      </c>
      <c r="D15" s="7" t="s">
        <v>11</v>
      </c>
      <c r="E15">
        <v>1139282</v>
      </c>
      <c r="H15" s="7" t="s">
        <v>15</v>
      </c>
      <c r="I15">
        <v>10946</v>
      </c>
    </row>
    <row r="16" spans="1:9" x14ac:dyDescent="0.3">
      <c r="A16" s="7" t="s">
        <v>33</v>
      </c>
      <c r="B16">
        <v>939</v>
      </c>
      <c r="D16" s="7" t="s">
        <v>24</v>
      </c>
      <c r="E16">
        <v>1033012</v>
      </c>
      <c r="H16" s="7" t="s">
        <v>24</v>
      </c>
      <c r="I16">
        <v>10741</v>
      </c>
    </row>
    <row r="17" spans="1:9" x14ac:dyDescent="0.3">
      <c r="A17" s="7" t="s">
        <v>9</v>
      </c>
      <c r="B17">
        <v>934</v>
      </c>
      <c r="D17" s="7" t="s">
        <v>16</v>
      </c>
      <c r="E17">
        <v>1002222</v>
      </c>
      <c r="H17" s="7" t="s">
        <v>16</v>
      </c>
      <c r="I17">
        <v>10624</v>
      </c>
    </row>
    <row r="18" spans="1:9" x14ac:dyDescent="0.3">
      <c r="A18" s="7" t="s">
        <v>11</v>
      </c>
      <c r="B18">
        <v>861</v>
      </c>
      <c r="D18" s="7" t="s">
        <v>9</v>
      </c>
      <c r="E18">
        <v>819388</v>
      </c>
      <c r="H18" s="7" t="s">
        <v>33</v>
      </c>
      <c r="I18">
        <v>9564</v>
      </c>
    </row>
    <row r="19" spans="1:9" x14ac:dyDescent="0.3">
      <c r="A19" s="7" t="s">
        <v>39</v>
      </c>
      <c r="B19">
        <v>787</v>
      </c>
      <c r="D19" s="7" t="s">
        <v>36</v>
      </c>
      <c r="E19">
        <v>791944</v>
      </c>
      <c r="H19" s="7" t="s">
        <v>30</v>
      </c>
      <c r="I19">
        <v>9126</v>
      </c>
    </row>
    <row r="20" spans="1:9" x14ac:dyDescent="0.3">
      <c r="A20" s="7" t="s">
        <v>6</v>
      </c>
      <c r="B20">
        <v>755</v>
      </c>
      <c r="D20" s="7" t="s">
        <v>32</v>
      </c>
      <c r="E20">
        <v>743903</v>
      </c>
      <c r="H20" s="7" t="s">
        <v>8</v>
      </c>
      <c r="I20">
        <v>7988</v>
      </c>
    </row>
    <row r="21" spans="1:9" x14ac:dyDescent="0.3">
      <c r="A21" s="7" t="s">
        <v>30</v>
      </c>
      <c r="B21">
        <v>627</v>
      </c>
      <c r="D21" s="7" t="s">
        <v>8</v>
      </c>
      <c r="E21">
        <v>716405</v>
      </c>
      <c r="H21" s="7" t="s">
        <v>39</v>
      </c>
      <c r="I21">
        <v>7696</v>
      </c>
    </row>
    <row r="22" spans="1:9" x14ac:dyDescent="0.3">
      <c r="A22" s="7" t="s">
        <v>10</v>
      </c>
      <c r="B22">
        <v>568</v>
      </c>
      <c r="D22" s="7" t="s">
        <v>18</v>
      </c>
      <c r="E22">
        <v>449803</v>
      </c>
      <c r="H22" s="7" t="s">
        <v>19</v>
      </c>
      <c r="I22">
        <v>5320</v>
      </c>
    </row>
    <row r="23" spans="1:9" x14ac:dyDescent="0.3">
      <c r="A23" s="7" t="s">
        <v>17</v>
      </c>
      <c r="B23">
        <v>507</v>
      </c>
      <c r="D23" s="7" t="s">
        <v>19</v>
      </c>
      <c r="E23">
        <v>430254</v>
      </c>
      <c r="H23" s="7" t="s">
        <v>18</v>
      </c>
      <c r="I23">
        <v>4756</v>
      </c>
    </row>
    <row r="24" spans="1:9" x14ac:dyDescent="0.3">
      <c r="A24" s="7" t="s">
        <v>24</v>
      </c>
      <c r="B24">
        <v>490</v>
      </c>
      <c r="D24" s="7" t="s">
        <v>39</v>
      </c>
      <c r="E24">
        <v>430180</v>
      </c>
      <c r="H24" s="7" t="s">
        <v>17</v>
      </c>
      <c r="I24">
        <v>4141</v>
      </c>
    </row>
    <row r="25" spans="1:9" x14ac:dyDescent="0.3">
      <c r="A25" s="7" t="s">
        <v>18</v>
      </c>
      <c r="B25">
        <v>447</v>
      </c>
      <c r="D25" s="7" t="s">
        <v>17</v>
      </c>
      <c r="E25">
        <v>281413</v>
      </c>
      <c r="H25" s="7" t="s">
        <v>36</v>
      </c>
      <c r="I25">
        <v>4111</v>
      </c>
    </row>
    <row r="26" spans="1:9" x14ac:dyDescent="0.3">
      <c r="A26" s="7" t="s">
        <v>8</v>
      </c>
      <c r="B26">
        <v>395</v>
      </c>
      <c r="D26" s="7" t="s">
        <v>14</v>
      </c>
      <c r="E26">
        <v>243720</v>
      </c>
      <c r="H26" s="7" t="s">
        <v>14</v>
      </c>
      <c r="I26">
        <v>3838</v>
      </c>
    </row>
    <row r="27" spans="1:9" x14ac:dyDescent="0.3">
      <c r="A27" s="7" t="s">
        <v>31</v>
      </c>
      <c r="B27">
        <v>304</v>
      </c>
      <c r="D27" s="7" t="s">
        <v>28</v>
      </c>
      <c r="E27">
        <v>228084</v>
      </c>
      <c r="H27" s="7" t="s">
        <v>26</v>
      </c>
      <c r="I27">
        <v>2120</v>
      </c>
    </row>
    <row r="28" spans="1:9" x14ac:dyDescent="0.3">
      <c r="A28" s="7" t="s">
        <v>19</v>
      </c>
      <c r="B28">
        <v>284</v>
      </c>
      <c r="D28" s="7" t="s">
        <v>31</v>
      </c>
      <c r="E28">
        <v>164172</v>
      </c>
      <c r="H28" s="7" t="s">
        <v>31</v>
      </c>
      <c r="I28">
        <v>1962</v>
      </c>
    </row>
    <row r="29" spans="1:9" x14ac:dyDescent="0.3">
      <c r="A29" s="7" t="s">
        <v>28</v>
      </c>
      <c r="B29">
        <v>261</v>
      </c>
      <c r="D29" s="7" t="s">
        <v>26</v>
      </c>
      <c r="E29">
        <v>135128</v>
      </c>
      <c r="H29" s="7" t="s">
        <v>27</v>
      </c>
      <c r="I29">
        <v>1594</v>
      </c>
    </row>
    <row r="30" spans="1:9" x14ac:dyDescent="0.3">
      <c r="A30" s="7" t="s">
        <v>22</v>
      </c>
      <c r="B30">
        <v>78</v>
      </c>
      <c r="D30" s="7" t="s">
        <v>37</v>
      </c>
      <c r="E30">
        <v>99971</v>
      </c>
      <c r="H30" s="7" t="s">
        <v>10</v>
      </c>
      <c r="I30">
        <v>1165</v>
      </c>
    </row>
    <row r="31" spans="1:9" x14ac:dyDescent="0.3">
      <c r="A31" s="7" t="s">
        <v>27</v>
      </c>
      <c r="B31">
        <v>65</v>
      </c>
      <c r="D31" s="7" t="s">
        <v>27</v>
      </c>
      <c r="E31">
        <v>92288</v>
      </c>
      <c r="H31" s="7" t="s">
        <v>37</v>
      </c>
      <c r="I31">
        <v>923</v>
      </c>
    </row>
    <row r="32" spans="1:9" x14ac:dyDescent="0.3">
      <c r="A32" s="7" t="s">
        <v>5</v>
      </c>
      <c r="B32">
        <v>42</v>
      </c>
      <c r="D32" s="7" t="s">
        <v>10</v>
      </c>
      <c r="E32">
        <v>92052</v>
      </c>
      <c r="H32" s="7" t="s">
        <v>29</v>
      </c>
      <c r="I32">
        <v>761</v>
      </c>
    </row>
    <row r="33" spans="1:9" x14ac:dyDescent="0.3">
      <c r="A33" s="7" t="s">
        <v>34</v>
      </c>
      <c r="B33">
        <v>26</v>
      </c>
      <c r="D33" s="7" t="s">
        <v>7</v>
      </c>
      <c r="E33">
        <v>64218</v>
      </c>
      <c r="H33" s="7" t="s">
        <v>28</v>
      </c>
      <c r="I33">
        <v>703</v>
      </c>
    </row>
    <row r="34" spans="1:9" x14ac:dyDescent="0.3">
      <c r="A34" s="7" t="s">
        <v>26</v>
      </c>
      <c r="B34">
        <v>18</v>
      </c>
      <c r="D34" s="7" t="s">
        <v>34</v>
      </c>
      <c r="E34">
        <v>38744</v>
      </c>
      <c r="H34" s="7" t="s">
        <v>34</v>
      </c>
      <c r="I34">
        <v>454</v>
      </c>
    </row>
    <row r="35" spans="1:9" x14ac:dyDescent="0.3">
      <c r="A35" s="7" t="s">
        <v>12</v>
      </c>
      <c r="B35">
        <v>14</v>
      </c>
      <c r="D35" s="7" t="s">
        <v>29</v>
      </c>
      <c r="E35">
        <v>34744</v>
      </c>
      <c r="H35" s="7" t="s">
        <v>7</v>
      </c>
      <c r="I35">
        <v>296</v>
      </c>
    </row>
    <row r="36" spans="1:9" x14ac:dyDescent="0.3">
      <c r="A36" s="7" t="s">
        <v>37</v>
      </c>
      <c r="B36">
        <v>7</v>
      </c>
      <c r="D36" s="7" t="s">
        <v>22</v>
      </c>
      <c r="E36">
        <v>28105</v>
      </c>
      <c r="H36" s="7" t="s">
        <v>22</v>
      </c>
      <c r="I36">
        <v>228</v>
      </c>
    </row>
    <row r="37" spans="1:9" x14ac:dyDescent="0.3">
      <c r="A37" s="7" t="s">
        <v>7</v>
      </c>
      <c r="B37">
        <v>4</v>
      </c>
      <c r="D37" s="7" t="s">
        <v>12</v>
      </c>
      <c r="E37">
        <v>11456</v>
      </c>
      <c r="H37" s="7" t="s">
        <v>5</v>
      </c>
      <c r="I37">
        <v>129</v>
      </c>
    </row>
    <row r="38" spans="1:9" x14ac:dyDescent="0.3">
      <c r="A38" s="7" t="s">
        <v>23</v>
      </c>
      <c r="B38">
        <v>3</v>
      </c>
      <c r="D38" s="7" t="s">
        <v>23</v>
      </c>
      <c r="E38">
        <v>11353</v>
      </c>
      <c r="H38" s="7" t="s">
        <v>23</v>
      </c>
      <c r="I38">
        <v>52</v>
      </c>
    </row>
    <row r="39" spans="1:9" x14ac:dyDescent="0.3">
      <c r="A39" s="7" t="s">
        <v>29</v>
      </c>
      <c r="B39">
        <v>2</v>
      </c>
      <c r="D39" s="7" t="s">
        <v>5</v>
      </c>
      <c r="E39">
        <v>9986</v>
      </c>
      <c r="H39" s="7" t="s">
        <v>12</v>
      </c>
      <c r="I39">
        <v>4</v>
      </c>
    </row>
    <row r="40" spans="1:9" x14ac:dyDescent="0.3">
      <c r="A40" s="7" t="s">
        <v>52</v>
      </c>
      <c r="D40" s="7" t="s">
        <v>52</v>
      </c>
      <c r="H40" s="7" t="s">
        <v>52</v>
      </c>
    </row>
    <row r="41" spans="1:9" x14ac:dyDescent="0.3">
      <c r="A41" s="7" t="s">
        <v>53</v>
      </c>
      <c r="B41">
        <v>104555</v>
      </c>
      <c r="D41" s="7" t="s">
        <v>53</v>
      </c>
      <c r="E41">
        <v>42822493</v>
      </c>
      <c r="H41" s="7" t="s">
        <v>53</v>
      </c>
      <c r="I41">
        <v>525116</v>
      </c>
    </row>
    <row r="48" spans="1:9" x14ac:dyDescent="0.3">
      <c r="A48" s="6" t="s">
        <v>51</v>
      </c>
      <c r="B48" t="s">
        <v>54</v>
      </c>
      <c r="D48" s="6" t="s">
        <v>51</v>
      </c>
      <c r="E48" t="s">
        <v>55</v>
      </c>
      <c r="H48" s="6" t="s">
        <v>51</v>
      </c>
      <c r="I48" t="s">
        <v>56</v>
      </c>
    </row>
    <row r="49" spans="1:9" x14ac:dyDescent="0.3">
      <c r="A49" s="7" t="s">
        <v>41</v>
      </c>
      <c r="B49">
        <v>50125</v>
      </c>
      <c r="D49" s="7" t="s">
        <v>41</v>
      </c>
      <c r="E49">
        <v>17166815</v>
      </c>
      <c r="H49" s="7" t="s">
        <v>44</v>
      </c>
      <c r="I49">
        <v>183015</v>
      </c>
    </row>
    <row r="50" spans="1:9" x14ac:dyDescent="0.3">
      <c r="A50" s="7" t="s">
        <v>44</v>
      </c>
      <c r="B50">
        <v>31074</v>
      </c>
      <c r="D50" s="7" t="s">
        <v>44</v>
      </c>
      <c r="E50">
        <v>11582453</v>
      </c>
      <c r="H50" s="7" t="s">
        <v>41</v>
      </c>
      <c r="I50">
        <v>169121</v>
      </c>
    </row>
    <row r="51" spans="1:9" x14ac:dyDescent="0.3">
      <c r="A51" s="7" t="s">
        <v>43</v>
      </c>
      <c r="B51">
        <v>13987</v>
      </c>
      <c r="D51" s="7" t="s">
        <v>42</v>
      </c>
      <c r="E51">
        <v>7079153</v>
      </c>
      <c r="H51" s="7" t="s">
        <v>43</v>
      </c>
      <c r="I51">
        <v>96182</v>
      </c>
    </row>
    <row r="52" spans="1:9" x14ac:dyDescent="0.3">
      <c r="A52" s="7" t="s">
        <v>42</v>
      </c>
      <c r="B52">
        <v>9369</v>
      </c>
      <c r="D52" s="7" t="s">
        <v>43</v>
      </c>
      <c r="E52">
        <v>6994072</v>
      </c>
      <c r="H52" s="7" t="s">
        <v>42</v>
      </c>
      <c r="I52">
        <v>76798</v>
      </c>
    </row>
    <row r="53" spans="1:9" x14ac:dyDescent="0.3">
      <c r="A53" s="7" t="s">
        <v>52</v>
      </c>
      <c r="D53" s="7" t="s">
        <v>52</v>
      </c>
      <c r="H53" s="7" t="s">
        <v>52</v>
      </c>
    </row>
    <row r="54" spans="1:9" x14ac:dyDescent="0.3">
      <c r="A54" s="7" t="s">
        <v>53</v>
      </c>
      <c r="B54">
        <v>104555</v>
      </c>
      <c r="D54" s="7" t="s">
        <v>53</v>
      </c>
      <c r="E54">
        <v>42822493</v>
      </c>
      <c r="H54" s="7" t="s">
        <v>53</v>
      </c>
      <c r="I54">
        <v>525116</v>
      </c>
    </row>
    <row r="61" spans="1:9" x14ac:dyDescent="0.3">
      <c r="F61" s="7"/>
    </row>
    <row r="62" spans="1:9" x14ac:dyDescent="0.3">
      <c r="F62" s="7"/>
    </row>
    <row r="63" spans="1:9" x14ac:dyDescent="0.3">
      <c r="F63" s="7"/>
    </row>
    <row r="64" spans="1:9" x14ac:dyDescent="0.3">
      <c r="F64" s="7"/>
    </row>
  </sheetData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878DA-C1A2-4495-B176-A48C62C547DE}">
  <dimension ref="A2:E92"/>
  <sheetViews>
    <sheetView topLeftCell="B19" workbookViewId="0">
      <selection activeCell="V4" sqref="V4"/>
    </sheetView>
  </sheetViews>
  <sheetFormatPr defaultRowHeight="14.4" x14ac:dyDescent="0.3"/>
  <cols>
    <col min="1" max="1" width="36.21875" bestFit="1" customWidth="1"/>
    <col min="2" max="3" width="21.109375" bestFit="1" customWidth="1"/>
    <col min="4" max="4" width="11.109375" customWidth="1"/>
    <col min="5" max="5" width="13.88671875" customWidth="1"/>
    <col min="6" max="10" width="4" bestFit="1" customWidth="1"/>
    <col min="11" max="23" width="5" bestFit="1" customWidth="1"/>
    <col min="24" max="36" width="6" bestFit="1" customWidth="1"/>
    <col min="37" max="38" width="7" bestFit="1" customWidth="1"/>
    <col min="39" max="39" width="10.5546875" bestFit="1" customWidth="1"/>
  </cols>
  <sheetData>
    <row r="2" spans="1:5" x14ac:dyDescent="0.3">
      <c r="A2" s="6" t="s">
        <v>51</v>
      </c>
      <c r="B2" t="s">
        <v>57</v>
      </c>
      <c r="D2" t="s">
        <v>59</v>
      </c>
      <c r="E2" t="s">
        <v>60</v>
      </c>
    </row>
    <row r="3" spans="1:5" x14ac:dyDescent="0.3">
      <c r="A3" s="7" t="s">
        <v>38</v>
      </c>
      <c r="B3">
        <v>231502578</v>
      </c>
      <c r="D3" s="7" t="s">
        <v>38</v>
      </c>
      <c r="E3">
        <v>231502578</v>
      </c>
    </row>
    <row r="4" spans="1:5" x14ac:dyDescent="0.3">
      <c r="A4" s="7" t="s">
        <v>9</v>
      </c>
      <c r="B4">
        <v>128500364</v>
      </c>
      <c r="D4" s="7" t="s">
        <v>9</v>
      </c>
      <c r="E4">
        <v>128500364</v>
      </c>
    </row>
    <row r="5" spans="1:5" x14ac:dyDescent="0.3">
      <c r="A5" s="7" t="s">
        <v>25</v>
      </c>
      <c r="B5">
        <v>124904071</v>
      </c>
      <c r="D5" s="7" t="s">
        <v>25</v>
      </c>
      <c r="E5">
        <v>124904071</v>
      </c>
    </row>
    <row r="6" spans="1:5" x14ac:dyDescent="0.3">
      <c r="A6" s="7" t="s">
        <v>40</v>
      </c>
      <c r="B6">
        <v>100896618</v>
      </c>
      <c r="D6" s="7" t="s">
        <v>40</v>
      </c>
      <c r="E6">
        <v>100896618</v>
      </c>
    </row>
    <row r="7" spans="1:5" x14ac:dyDescent="0.3">
      <c r="A7" s="7" t="s">
        <v>6</v>
      </c>
      <c r="B7">
        <v>91702478</v>
      </c>
      <c r="D7" s="7" t="s">
        <v>6</v>
      </c>
      <c r="E7">
        <v>91702478</v>
      </c>
    </row>
    <row r="8" spans="1:5" x14ac:dyDescent="0.3">
      <c r="A8" s="7" t="s">
        <v>24</v>
      </c>
      <c r="B8">
        <v>85002417</v>
      </c>
    </row>
    <row r="9" spans="1:5" x14ac:dyDescent="0.3">
      <c r="A9" s="7" t="s">
        <v>35</v>
      </c>
      <c r="B9">
        <v>83697770</v>
      </c>
      <c r="D9" s="7" t="s">
        <v>12</v>
      </c>
      <c r="E9">
        <v>773997</v>
      </c>
    </row>
    <row r="10" spans="1:5" x14ac:dyDescent="0.3">
      <c r="A10" s="7" t="s">
        <v>33</v>
      </c>
      <c r="B10">
        <v>79502477</v>
      </c>
      <c r="D10" s="7" t="s">
        <v>34</v>
      </c>
      <c r="E10">
        <v>658019</v>
      </c>
    </row>
    <row r="11" spans="1:5" x14ac:dyDescent="0.3">
      <c r="A11" s="7" t="s">
        <v>15</v>
      </c>
      <c r="B11">
        <v>70400153</v>
      </c>
      <c r="D11" s="7" t="s">
        <v>5</v>
      </c>
      <c r="E11">
        <v>399001</v>
      </c>
    </row>
    <row r="12" spans="1:5" x14ac:dyDescent="0.3">
      <c r="A12" s="7" t="s">
        <v>20</v>
      </c>
      <c r="B12">
        <v>69599762</v>
      </c>
      <c r="D12" s="7" t="s">
        <v>22</v>
      </c>
      <c r="E12">
        <v>290492</v>
      </c>
    </row>
    <row r="13" spans="1:5" x14ac:dyDescent="0.3">
      <c r="A13" s="7" t="s">
        <v>30</v>
      </c>
      <c r="B13">
        <v>47099270</v>
      </c>
      <c r="D13" s="7" t="s">
        <v>23</v>
      </c>
      <c r="E13">
        <v>66001</v>
      </c>
    </row>
    <row r="14" spans="1:5" x14ac:dyDescent="0.3">
      <c r="A14" s="7" t="s">
        <v>19</v>
      </c>
      <c r="B14">
        <v>40100376</v>
      </c>
    </row>
    <row r="15" spans="1:5" x14ac:dyDescent="0.3">
      <c r="A15" s="7" t="s">
        <v>36</v>
      </c>
      <c r="B15">
        <v>38157311</v>
      </c>
    </row>
    <row r="16" spans="1:5" x14ac:dyDescent="0.3">
      <c r="A16" s="7" t="s">
        <v>8</v>
      </c>
      <c r="B16">
        <v>35998752</v>
      </c>
    </row>
    <row r="17" spans="1:2" x14ac:dyDescent="0.3">
      <c r="A17" s="7" t="s">
        <v>21</v>
      </c>
      <c r="B17">
        <v>34698876</v>
      </c>
    </row>
    <row r="18" spans="1:2" x14ac:dyDescent="0.3">
      <c r="A18" s="7" t="s">
        <v>11</v>
      </c>
      <c r="B18">
        <v>32199722</v>
      </c>
    </row>
    <row r="19" spans="1:2" x14ac:dyDescent="0.3">
      <c r="A19" s="7" t="s">
        <v>32</v>
      </c>
      <c r="B19">
        <v>30501026</v>
      </c>
    </row>
    <row r="20" spans="1:2" x14ac:dyDescent="0.3">
      <c r="A20" s="7" t="s">
        <v>16</v>
      </c>
      <c r="B20">
        <v>28900667</v>
      </c>
    </row>
    <row r="21" spans="1:2" x14ac:dyDescent="0.3">
      <c r="A21" s="7" t="s">
        <v>13</v>
      </c>
      <c r="B21">
        <v>19301096</v>
      </c>
    </row>
    <row r="22" spans="1:2" x14ac:dyDescent="0.3">
      <c r="A22" s="7" t="s">
        <v>18</v>
      </c>
      <c r="B22">
        <v>14999397</v>
      </c>
    </row>
    <row r="23" spans="1:2" x14ac:dyDescent="0.3">
      <c r="A23" s="7" t="s">
        <v>39</v>
      </c>
      <c r="B23">
        <v>11700099</v>
      </c>
    </row>
    <row r="24" spans="1:2" x14ac:dyDescent="0.3">
      <c r="A24" s="7" t="s">
        <v>17</v>
      </c>
      <c r="B24">
        <v>7503010</v>
      </c>
    </row>
    <row r="25" spans="1:2" x14ac:dyDescent="0.3">
      <c r="A25" s="7" t="s">
        <v>37</v>
      </c>
      <c r="B25">
        <v>4184959</v>
      </c>
    </row>
    <row r="26" spans="1:2" x14ac:dyDescent="0.3">
      <c r="A26" s="7" t="s">
        <v>27</v>
      </c>
      <c r="B26">
        <v>3772103</v>
      </c>
    </row>
    <row r="27" spans="1:2" x14ac:dyDescent="0.3">
      <c r="A27" s="7" t="s">
        <v>26</v>
      </c>
      <c r="B27">
        <v>3436948</v>
      </c>
    </row>
    <row r="28" spans="1:2" x14ac:dyDescent="0.3">
      <c r="A28" s="7" t="s">
        <v>29</v>
      </c>
      <c r="B28">
        <v>2073074</v>
      </c>
    </row>
    <row r="29" spans="1:2" x14ac:dyDescent="0.3">
      <c r="A29" s="7" t="s">
        <v>7</v>
      </c>
      <c r="B29">
        <v>1711947</v>
      </c>
    </row>
    <row r="30" spans="1:2" x14ac:dyDescent="0.3">
      <c r="A30" s="7" t="s">
        <v>31</v>
      </c>
      <c r="B30">
        <v>1646050</v>
      </c>
    </row>
    <row r="31" spans="1:2" x14ac:dyDescent="0.3">
      <c r="A31" s="7" t="s">
        <v>14</v>
      </c>
      <c r="B31">
        <v>1521992</v>
      </c>
    </row>
    <row r="32" spans="1:2" x14ac:dyDescent="0.3">
      <c r="A32" s="7" t="s">
        <v>28</v>
      </c>
      <c r="B32">
        <v>1308967</v>
      </c>
    </row>
    <row r="33" spans="1:2" x14ac:dyDescent="0.3">
      <c r="A33" s="7" t="s">
        <v>10</v>
      </c>
      <c r="B33">
        <v>1158040</v>
      </c>
    </row>
    <row r="34" spans="1:2" x14ac:dyDescent="0.3">
      <c r="A34" s="7" t="s">
        <v>12</v>
      </c>
      <c r="B34">
        <v>773997</v>
      </c>
    </row>
    <row r="35" spans="1:2" x14ac:dyDescent="0.3">
      <c r="A35" s="7" t="s">
        <v>34</v>
      </c>
      <c r="B35">
        <v>658019</v>
      </c>
    </row>
    <row r="36" spans="1:2" x14ac:dyDescent="0.3">
      <c r="A36" s="7" t="s">
        <v>5</v>
      </c>
      <c r="B36">
        <v>399001</v>
      </c>
    </row>
    <row r="37" spans="1:2" x14ac:dyDescent="0.3">
      <c r="A37" s="7" t="s">
        <v>22</v>
      </c>
      <c r="B37">
        <v>290492</v>
      </c>
    </row>
    <row r="38" spans="1:2" x14ac:dyDescent="0.3">
      <c r="A38" s="7" t="s">
        <v>23</v>
      </c>
      <c r="B38">
        <v>66001</v>
      </c>
    </row>
    <row r="39" spans="1:2" x14ac:dyDescent="0.3">
      <c r="A39" s="7" t="s">
        <v>52</v>
      </c>
    </row>
    <row r="40" spans="1:2" x14ac:dyDescent="0.3">
      <c r="A40" s="7" t="s">
        <v>53</v>
      </c>
      <c r="B40">
        <v>1429869880</v>
      </c>
    </row>
    <row r="44" spans="1:2" x14ac:dyDescent="0.3">
      <c r="A44" s="6" t="s">
        <v>51</v>
      </c>
      <c r="B44" t="s">
        <v>57</v>
      </c>
    </row>
    <row r="45" spans="1:2" x14ac:dyDescent="0.3">
      <c r="A45" s="7" t="s">
        <v>42</v>
      </c>
      <c r="B45">
        <v>401941119</v>
      </c>
    </row>
    <row r="46" spans="1:2" x14ac:dyDescent="0.3">
      <c r="A46" s="7" t="s">
        <v>43</v>
      </c>
      <c r="B46">
        <v>345856405</v>
      </c>
    </row>
    <row r="47" spans="1:2" x14ac:dyDescent="0.3">
      <c r="A47" s="7" t="s">
        <v>41</v>
      </c>
      <c r="B47">
        <v>319967249</v>
      </c>
    </row>
    <row r="48" spans="1:2" x14ac:dyDescent="0.3">
      <c r="A48" s="7" t="s">
        <v>44</v>
      </c>
      <c r="B48">
        <v>362105107</v>
      </c>
    </row>
    <row r="49" spans="1:2" x14ac:dyDescent="0.3">
      <c r="A49" s="7" t="s">
        <v>52</v>
      </c>
    </row>
    <row r="50" spans="1:2" x14ac:dyDescent="0.3">
      <c r="A50" s="7" t="s">
        <v>53</v>
      </c>
      <c r="B50">
        <v>1429869880</v>
      </c>
    </row>
    <row r="54" spans="1:2" x14ac:dyDescent="0.3">
      <c r="A54" s="6" t="s">
        <v>51</v>
      </c>
      <c r="B54" t="s">
        <v>58</v>
      </c>
    </row>
    <row r="55" spans="1:2" x14ac:dyDescent="0.3">
      <c r="A55" s="7" t="s">
        <v>38</v>
      </c>
      <c r="B55">
        <v>52143250</v>
      </c>
    </row>
    <row r="56" spans="1:2" x14ac:dyDescent="0.3">
      <c r="A56" s="7" t="s">
        <v>25</v>
      </c>
      <c r="B56">
        <v>45474924</v>
      </c>
    </row>
    <row r="57" spans="1:2" x14ac:dyDescent="0.3">
      <c r="A57" s="7" t="s">
        <v>15</v>
      </c>
      <c r="B57">
        <v>34445808</v>
      </c>
    </row>
    <row r="58" spans="1:2" x14ac:dyDescent="0.3">
      <c r="A58" s="7" t="s">
        <v>33</v>
      </c>
      <c r="B58">
        <v>33960155</v>
      </c>
    </row>
    <row r="59" spans="1:2" x14ac:dyDescent="0.3">
      <c r="A59" s="7" t="s">
        <v>24</v>
      </c>
      <c r="B59">
        <v>33700696</v>
      </c>
    </row>
    <row r="60" spans="1:2" x14ac:dyDescent="0.3">
      <c r="A60" s="7" t="s">
        <v>20</v>
      </c>
      <c r="B60">
        <v>31958469</v>
      </c>
    </row>
    <row r="61" spans="1:2" x14ac:dyDescent="0.3">
      <c r="A61" s="7" t="s">
        <v>40</v>
      </c>
      <c r="B61">
        <v>30971437</v>
      </c>
    </row>
    <row r="62" spans="1:2" x14ac:dyDescent="0.3">
      <c r="A62" s="7" t="s">
        <v>9</v>
      </c>
      <c r="B62">
        <v>25405635</v>
      </c>
    </row>
    <row r="63" spans="1:2" x14ac:dyDescent="0.3">
      <c r="A63" s="7" t="s">
        <v>35</v>
      </c>
      <c r="B63">
        <v>24202926</v>
      </c>
    </row>
    <row r="64" spans="1:2" x14ac:dyDescent="0.3">
      <c r="A64" s="7" t="s">
        <v>6</v>
      </c>
      <c r="B64">
        <v>22650559</v>
      </c>
    </row>
    <row r="65" spans="1:2" x14ac:dyDescent="0.3">
      <c r="A65" s="7" t="s">
        <v>21</v>
      </c>
      <c r="B65">
        <v>21114476</v>
      </c>
    </row>
    <row r="66" spans="1:2" x14ac:dyDescent="0.3">
      <c r="A66" s="7" t="s">
        <v>30</v>
      </c>
      <c r="B66">
        <v>17251295</v>
      </c>
    </row>
    <row r="67" spans="1:2" x14ac:dyDescent="0.3">
      <c r="A67" s="7" t="s">
        <v>36</v>
      </c>
      <c r="B67">
        <v>15095915</v>
      </c>
    </row>
    <row r="68" spans="1:2" x14ac:dyDescent="0.3">
      <c r="A68" s="7" t="s">
        <v>16</v>
      </c>
      <c r="B68">
        <v>12433768</v>
      </c>
    </row>
    <row r="69" spans="1:2" x14ac:dyDescent="0.3">
      <c r="A69" s="7" t="s">
        <v>11</v>
      </c>
      <c r="B69">
        <v>12138500</v>
      </c>
    </row>
    <row r="70" spans="1:2" x14ac:dyDescent="0.3">
      <c r="A70" s="7" t="s">
        <v>8</v>
      </c>
      <c r="B70">
        <v>11582167</v>
      </c>
    </row>
    <row r="71" spans="1:2" x14ac:dyDescent="0.3">
      <c r="A71" s="7" t="s">
        <v>13</v>
      </c>
      <c r="B71">
        <v>10381633</v>
      </c>
    </row>
    <row r="72" spans="1:2" x14ac:dyDescent="0.3">
      <c r="A72" s="7" t="s">
        <v>32</v>
      </c>
      <c r="B72">
        <v>9999736</v>
      </c>
    </row>
    <row r="73" spans="1:2" x14ac:dyDescent="0.3">
      <c r="A73" s="7" t="s">
        <v>19</v>
      </c>
      <c r="B73">
        <v>9939180</v>
      </c>
    </row>
    <row r="74" spans="1:2" x14ac:dyDescent="0.3">
      <c r="A74" s="7" t="s">
        <v>18</v>
      </c>
      <c r="B74">
        <v>6487172</v>
      </c>
    </row>
    <row r="75" spans="1:2" x14ac:dyDescent="0.3">
      <c r="A75" s="7" t="s">
        <v>39</v>
      </c>
      <c r="B75">
        <v>6272237</v>
      </c>
    </row>
    <row r="76" spans="1:2" x14ac:dyDescent="0.3">
      <c r="A76" s="7" t="s">
        <v>17</v>
      </c>
      <c r="B76">
        <v>5405528</v>
      </c>
    </row>
    <row r="77" spans="1:2" x14ac:dyDescent="0.3">
      <c r="A77" s="7" t="s">
        <v>37</v>
      </c>
      <c r="B77">
        <v>3186689</v>
      </c>
    </row>
    <row r="78" spans="1:2" x14ac:dyDescent="0.3">
      <c r="A78" s="7" t="s">
        <v>26</v>
      </c>
      <c r="B78">
        <v>1358157</v>
      </c>
    </row>
    <row r="79" spans="1:2" x14ac:dyDescent="0.3">
      <c r="A79" s="7" t="s">
        <v>14</v>
      </c>
      <c r="B79">
        <v>1356445</v>
      </c>
    </row>
    <row r="80" spans="1:2" x14ac:dyDescent="0.3">
      <c r="A80" s="7" t="s">
        <v>27</v>
      </c>
      <c r="B80">
        <v>1123742</v>
      </c>
    </row>
    <row r="81" spans="1:2" x14ac:dyDescent="0.3">
      <c r="A81" s="7" t="s">
        <v>10</v>
      </c>
      <c r="B81">
        <v>870600</v>
      </c>
    </row>
    <row r="82" spans="1:2" x14ac:dyDescent="0.3">
      <c r="A82" s="7" t="s">
        <v>7</v>
      </c>
      <c r="B82">
        <v>860312</v>
      </c>
    </row>
    <row r="83" spans="1:2" x14ac:dyDescent="0.3">
      <c r="A83" s="7" t="s">
        <v>28</v>
      </c>
      <c r="B83">
        <v>847086</v>
      </c>
    </row>
    <row r="84" spans="1:2" x14ac:dyDescent="0.3">
      <c r="A84" s="7" t="s">
        <v>29</v>
      </c>
      <c r="B84">
        <v>779573</v>
      </c>
    </row>
    <row r="85" spans="1:2" x14ac:dyDescent="0.3">
      <c r="A85" s="7" t="s">
        <v>31</v>
      </c>
      <c r="B85">
        <v>733142</v>
      </c>
    </row>
    <row r="86" spans="1:2" x14ac:dyDescent="0.3">
      <c r="A86" s="7" t="s">
        <v>12</v>
      </c>
      <c r="B86">
        <v>644811</v>
      </c>
    </row>
    <row r="87" spans="1:2" x14ac:dyDescent="0.3">
      <c r="A87" s="7" t="s">
        <v>34</v>
      </c>
      <c r="B87">
        <v>644762</v>
      </c>
    </row>
    <row r="88" spans="1:2" x14ac:dyDescent="0.3">
      <c r="A88" s="7" t="s">
        <v>5</v>
      </c>
      <c r="B88">
        <v>305737</v>
      </c>
    </row>
    <row r="89" spans="1:2" x14ac:dyDescent="0.3">
      <c r="A89" s="7" t="s">
        <v>22</v>
      </c>
      <c r="B89">
        <v>256629</v>
      </c>
    </row>
    <row r="90" spans="1:2" x14ac:dyDescent="0.3">
      <c r="A90" s="7" t="s">
        <v>23</v>
      </c>
      <c r="B90">
        <v>67032</v>
      </c>
    </row>
    <row r="91" spans="1:2" x14ac:dyDescent="0.3">
      <c r="A91" s="7" t="s">
        <v>52</v>
      </c>
    </row>
    <row r="92" spans="1:2" x14ac:dyDescent="0.3">
      <c r="A92" s="7" t="s">
        <v>53</v>
      </c>
      <c r="B92">
        <v>486050183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95769-74AB-43C6-9A6F-AB1D1E72B601}">
  <dimension ref="A3:C41"/>
  <sheetViews>
    <sheetView topLeftCell="A5" workbookViewId="0">
      <selection activeCell="J3" sqref="J3"/>
    </sheetView>
  </sheetViews>
  <sheetFormatPr defaultRowHeight="14.4" x14ac:dyDescent="0.3"/>
  <cols>
    <col min="1" max="1" width="36.21875" bestFit="1" customWidth="1"/>
    <col min="2" max="2" width="17.77734375" bestFit="1" customWidth="1"/>
    <col min="3" max="3" width="11.88671875" bestFit="1" customWidth="1"/>
  </cols>
  <sheetData>
    <row r="3" spans="1:3" x14ac:dyDescent="0.3">
      <c r="A3" s="6" t="s">
        <v>51</v>
      </c>
      <c r="B3" t="s">
        <v>54</v>
      </c>
      <c r="C3" t="s">
        <v>56</v>
      </c>
    </row>
    <row r="4" spans="1:3" x14ac:dyDescent="0.3">
      <c r="A4" s="7" t="s">
        <v>25</v>
      </c>
      <c r="B4">
        <v>25735</v>
      </c>
      <c r="C4">
        <v>147922</v>
      </c>
    </row>
    <row r="5" spans="1:3" x14ac:dyDescent="0.3">
      <c r="A5" s="7" t="s">
        <v>21</v>
      </c>
      <c r="B5">
        <v>28860</v>
      </c>
      <c r="C5">
        <v>69993</v>
      </c>
    </row>
    <row r="6" spans="1:3" x14ac:dyDescent="0.3">
      <c r="A6" s="7" t="s">
        <v>20</v>
      </c>
      <c r="B6">
        <v>5707</v>
      </c>
      <c r="C6">
        <v>40117</v>
      </c>
    </row>
    <row r="7" spans="1:3" x14ac:dyDescent="0.3">
      <c r="A7" s="7" t="s">
        <v>35</v>
      </c>
      <c r="B7">
        <v>10033</v>
      </c>
      <c r="C7">
        <v>38026</v>
      </c>
    </row>
    <row r="8" spans="1:3" x14ac:dyDescent="0.3">
      <c r="A8" s="7" t="s">
        <v>13</v>
      </c>
      <c r="B8">
        <v>4325</v>
      </c>
      <c r="C8">
        <v>26261</v>
      </c>
    </row>
    <row r="9" spans="1:3" x14ac:dyDescent="0.3">
      <c r="A9" s="7" t="s">
        <v>38</v>
      </c>
      <c r="B9">
        <v>3541</v>
      </c>
      <c r="C9">
        <v>23538</v>
      </c>
    </row>
    <row r="10" spans="1:3" x14ac:dyDescent="0.3">
      <c r="A10" s="7" t="s">
        <v>40</v>
      </c>
      <c r="B10">
        <v>5885</v>
      </c>
      <c r="C10">
        <v>21218</v>
      </c>
    </row>
    <row r="11" spans="1:3" x14ac:dyDescent="0.3">
      <c r="A11" s="7" t="s">
        <v>32</v>
      </c>
      <c r="B11">
        <v>1079</v>
      </c>
      <c r="C11">
        <v>17773</v>
      </c>
    </row>
    <row r="12" spans="1:3" x14ac:dyDescent="0.3">
      <c r="A12" s="7" t="s">
        <v>6</v>
      </c>
      <c r="B12">
        <v>755</v>
      </c>
      <c r="C12">
        <v>14731</v>
      </c>
    </row>
    <row r="13" spans="1:3" x14ac:dyDescent="0.3">
      <c r="A13" s="7" t="s">
        <v>11</v>
      </c>
      <c r="B13">
        <v>861</v>
      </c>
      <c r="C13">
        <v>14036</v>
      </c>
    </row>
    <row r="14" spans="1:3" x14ac:dyDescent="0.3">
      <c r="A14" s="7" t="s">
        <v>9</v>
      </c>
      <c r="B14">
        <v>934</v>
      </c>
      <c r="C14">
        <v>12259</v>
      </c>
    </row>
    <row r="15" spans="1:3" x14ac:dyDescent="0.3">
      <c r="A15" s="7" t="s">
        <v>15</v>
      </c>
      <c r="B15">
        <v>2914</v>
      </c>
      <c r="C15">
        <v>10946</v>
      </c>
    </row>
    <row r="16" spans="1:3" x14ac:dyDescent="0.3">
      <c r="A16" s="7" t="s">
        <v>24</v>
      </c>
      <c r="B16">
        <v>490</v>
      </c>
      <c r="C16">
        <v>10741</v>
      </c>
    </row>
    <row r="17" spans="1:3" x14ac:dyDescent="0.3">
      <c r="A17" s="7" t="s">
        <v>16</v>
      </c>
      <c r="B17">
        <v>2655</v>
      </c>
      <c r="C17">
        <v>10624</v>
      </c>
    </row>
    <row r="18" spans="1:3" x14ac:dyDescent="0.3">
      <c r="A18" s="7" t="s">
        <v>33</v>
      </c>
      <c r="B18">
        <v>939</v>
      </c>
      <c r="C18">
        <v>9564</v>
      </c>
    </row>
    <row r="19" spans="1:3" x14ac:dyDescent="0.3">
      <c r="A19" s="7" t="s">
        <v>30</v>
      </c>
      <c r="B19">
        <v>627</v>
      </c>
      <c r="C19">
        <v>9126</v>
      </c>
    </row>
    <row r="20" spans="1:3" x14ac:dyDescent="0.3">
      <c r="A20" s="7" t="s">
        <v>8</v>
      </c>
      <c r="B20">
        <v>395</v>
      </c>
      <c r="C20">
        <v>7988</v>
      </c>
    </row>
    <row r="21" spans="1:3" x14ac:dyDescent="0.3">
      <c r="A21" s="7" t="s">
        <v>39</v>
      </c>
      <c r="B21">
        <v>787</v>
      </c>
      <c r="C21">
        <v>7696</v>
      </c>
    </row>
    <row r="22" spans="1:3" x14ac:dyDescent="0.3">
      <c r="A22" s="7" t="s">
        <v>19</v>
      </c>
      <c r="B22">
        <v>284</v>
      </c>
      <c r="C22">
        <v>5320</v>
      </c>
    </row>
    <row r="23" spans="1:3" x14ac:dyDescent="0.3">
      <c r="A23" s="7" t="s">
        <v>18</v>
      </c>
      <c r="B23">
        <v>447</v>
      </c>
      <c r="C23">
        <v>4756</v>
      </c>
    </row>
    <row r="24" spans="1:3" x14ac:dyDescent="0.3">
      <c r="A24" s="7" t="s">
        <v>17</v>
      </c>
      <c r="B24">
        <v>507</v>
      </c>
      <c r="C24">
        <v>4141</v>
      </c>
    </row>
    <row r="25" spans="1:3" x14ac:dyDescent="0.3">
      <c r="A25" s="7" t="s">
        <v>36</v>
      </c>
      <c r="B25">
        <v>4421</v>
      </c>
      <c r="C25">
        <v>4111</v>
      </c>
    </row>
    <row r="26" spans="1:3" x14ac:dyDescent="0.3">
      <c r="A26" s="7" t="s">
        <v>14</v>
      </c>
      <c r="B26">
        <v>982</v>
      </c>
      <c r="C26">
        <v>3838</v>
      </c>
    </row>
    <row r="27" spans="1:3" x14ac:dyDescent="0.3">
      <c r="A27" s="7" t="s">
        <v>26</v>
      </c>
      <c r="B27">
        <v>18</v>
      </c>
      <c r="C27">
        <v>2120</v>
      </c>
    </row>
    <row r="28" spans="1:3" x14ac:dyDescent="0.3">
      <c r="A28" s="7" t="s">
        <v>31</v>
      </c>
      <c r="B28">
        <v>304</v>
      </c>
      <c r="C28">
        <v>1962</v>
      </c>
    </row>
    <row r="29" spans="1:3" x14ac:dyDescent="0.3">
      <c r="A29" s="7" t="s">
        <v>27</v>
      </c>
      <c r="B29">
        <v>65</v>
      </c>
      <c r="C29">
        <v>1594</v>
      </c>
    </row>
    <row r="30" spans="1:3" x14ac:dyDescent="0.3">
      <c r="A30" s="7" t="s">
        <v>10</v>
      </c>
      <c r="B30">
        <v>568</v>
      </c>
      <c r="C30">
        <v>1165</v>
      </c>
    </row>
    <row r="31" spans="1:3" x14ac:dyDescent="0.3">
      <c r="A31" s="7" t="s">
        <v>37</v>
      </c>
      <c r="B31">
        <v>7</v>
      </c>
      <c r="C31">
        <v>923</v>
      </c>
    </row>
    <row r="32" spans="1:3" x14ac:dyDescent="0.3">
      <c r="A32" s="7" t="s">
        <v>29</v>
      </c>
      <c r="B32">
        <v>2</v>
      </c>
      <c r="C32">
        <v>761</v>
      </c>
    </row>
    <row r="33" spans="1:3" x14ac:dyDescent="0.3">
      <c r="A33" s="7" t="s">
        <v>28</v>
      </c>
      <c r="B33">
        <v>261</v>
      </c>
      <c r="C33">
        <v>703</v>
      </c>
    </row>
    <row r="34" spans="1:3" x14ac:dyDescent="0.3">
      <c r="A34" s="7" t="s">
        <v>34</v>
      </c>
      <c r="B34">
        <v>26</v>
      </c>
      <c r="C34">
        <v>454</v>
      </c>
    </row>
    <row r="35" spans="1:3" x14ac:dyDescent="0.3">
      <c r="A35" s="7" t="s">
        <v>7</v>
      </c>
      <c r="B35">
        <v>4</v>
      </c>
      <c r="C35">
        <v>296</v>
      </c>
    </row>
    <row r="36" spans="1:3" x14ac:dyDescent="0.3">
      <c r="A36" s="7" t="s">
        <v>22</v>
      </c>
      <c r="B36">
        <v>78</v>
      </c>
      <c r="C36">
        <v>228</v>
      </c>
    </row>
    <row r="37" spans="1:3" x14ac:dyDescent="0.3">
      <c r="A37" s="7" t="s">
        <v>5</v>
      </c>
      <c r="B37">
        <v>42</v>
      </c>
      <c r="C37">
        <v>129</v>
      </c>
    </row>
    <row r="38" spans="1:3" x14ac:dyDescent="0.3">
      <c r="A38" s="7" t="s">
        <v>23</v>
      </c>
      <c r="B38">
        <v>3</v>
      </c>
      <c r="C38">
        <v>52</v>
      </c>
    </row>
    <row r="39" spans="1:3" x14ac:dyDescent="0.3">
      <c r="A39" s="7" t="s">
        <v>12</v>
      </c>
      <c r="B39">
        <v>14</v>
      </c>
      <c r="C39">
        <v>4</v>
      </c>
    </row>
    <row r="40" spans="1:3" x14ac:dyDescent="0.3">
      <c r="A40" s="7" t="s">
        <v>52</v>
      </c>
    </row>
    <row r="41" spans="1:3" x14ac:dyDescent="0.3">
      <c r="A41" s="7" t="s">
        <v>53</v>
      </c>
      <c r="B41">
        <v>104555</v>
      </c>
      <c r="C41">
        <v>525116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8F8C1-8485-4420-ACEC-DC3E4CB8F131}">
  <dimension ref="A1:G108"/>
  <sheetViews>
    <sheetView showGridLines="0" tabSelected="1" workbookViewId="0">
      <selection activeCell="P7" sqref="P7"/>
    </sheetView>
  </sheetViews>
  <sheetFormatPr defaultRowHeight="14.4" x14ac:dyDescent="0.3"/>
  <cols>
    <col min="1" max="1" width="27.77734375" customWidth="1"/>
    <col min="2" max="2" width="18.44140625" customWidth="1"/>
  </cols>
  <sheetData>
    <row r="1" spans="1:5" x14ac:dyDescent="0.3">
      <c r="A1" s="8"/>
      <c r="B1" s="4" t="s">
        <v>61</v>
      </c>
      <c r="C1" s="4" t="s">
        <v>62</v>
      </c>
      <c r="D1" s="4" t="s">
        <v>63</v>
      </c>
      <c r="E1" s="4" t="s">
        <v>64</v>
      </c>
    </row>
    <row r="2" spans="1:5" x14ac:dyDescent="0.3">
      <c r="A2" s="8"/>
      <c r="B2" s="4"/>
      <c r="C2" s="2"/>
      <c r="D2" s="2"/>
      <c r="E2" s="2"/>
    </row>
    <row r="16" spans="1:5" ht="23.4" x14ac:dyDescent="0.45">
      <c r="A16" s="9" t="s">
        <v>65</v>
      </c>
      <c r="B16" s="10"/>
    </row>
    <row r="42" spans="1:3" ht="23.4" x14ac:dyDescent="0.45">
      <c r="A42" s="9" t="s">
        <v>66</v>
      </c>
      <c r="B42" s="10"/>
      <c r="C42" s="10"/>
    </row>
    <row r="82" spans="1:3" ht="23.4" x14ac:dyDescent="0.45">
      <c r="A82" s="11" t="s">
        <v>67</v>
      </c>
      <c r="B82" s="10"/>
      <c r="C82" s="10"/>
    </row>
    <row r="108" spans="1:7" ht="23.4" x14ac:dyDescent="0.45">
      <c r="A108" s="11" t="s">
        <v>68</v>
      </c>
      <c r="B108" s="10"/>
      <c r="C108" s="10"/>
      <c r="D108" s="10"/>
      <c r="E108" s="10"/>
      <c r="F108" s="10"/>
      <c r="G108" s="10"/>
    </row>
  </sheetData>
  <mergeCells count="1">
    <mergeCell ref="A1:A2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1BB1-8129-4A33-A23C-65A8CF3D2A9C}">
  <dimension ref="A1:K40"/>
  <sheetViews>
    <sheetView topLeftCell="A3" workbookViewId="0">
      <selection activeCell="F39" sqref="F39"/>
    </sheetView>
  </sheetViews>
  <sheetFormatPr defaultRowHeight="14.4" x14ac:dyDescent="0.3"/>
  <cols>
    <col min="1" max="2" width="20.21875" customWidth="1"/>
    <col min="3" max="3" width="17.6640625" customWidth="1"/>
    <col min="4" max="4" width="13.33203125" customWidth="1"/>
    <col min="5" max="5" width="19.21875" customWidth="1"/>
    <col min="6" max="6" width="12.88671875" customWidth="1"/>
    <col min="7" max="7" width="11" bestFit="1" customWidth="1"/>
    <col min="8" max="8" width="18.88671875" customWidth="1"/>
    <col min="9" max="9" width="16.109375" customWidth="1"/>
    <col min="10" max="10" width="27.109375" customWidth="1"/>
  </cols>
  <sheetData>
    <row r="1" spans="1:11" x14ac:dyDescent="0.3">
      <c r="A1" s="5" t="s">
        <v>0</v>
      </c>
      <c r="B1" s="5" t="s">
        <v>45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46</v>
      </c>
      <c r="H1" s="5" t="s">
        <v>47</v>
      </c>
      <c r="I1" s="5" t="s">
        <v>48</v>
      </c>
      <c r="J1" s="5" t="s">
        <v>49</v>
      </c>
      <c r="K1" s="3"/>
    </row>
    <row r="2" spans="1:11" x14ac:dyDescent="0.3">
      <c r="A2" s="2"/>
      <c r="B2" s="2"/>
      <c r="C2" s="2"/>
      <c r="D2" s="2"/>
      <c r="E2" s="2"/>
      <c r="F2" s="2"/>
      <c r="G2" s="2"/>
    </row>
    <row r="3" spans="1:11" x14ac:dyDescent="0.3">
      <c r="A3" s="2" t="s">
        <v>5</v>
      </c>
      <c r="B3" s="2" t="s">
        <v>41</v>
      </c>
      <c r="C3" s="2">
        <v>10157</v>
      </c>
      <c r="D3" s="2">
        <v>42</v>
      </c>
      <c r="E3" s="2">
        <v>9986</v>
      </c>
      <c r="F3" s="2">
        <v>129</v>
      </c>
      <c r="G3" s="2">
        <v>399001</v>
      </c>
      <c r="H3" s="4">
        <v>212573</v>
      </c>
      <c r="I3" s="4">
        <v>93164</v>
      </c>
      <c r="J3" s="4">
        <v>305737</v>
      </c>
    </row>
    <row r="4" spans="1:11" x14ac:dyDescent="0.3">
      <c r="A4" s="2" t="s">
        <v>6</v>
      </c>
      <c r="B4" s="2" t="s">
        <v>41</v>
      </c>
      <c r="C4" s="2">
        <v>2321379</v>
      </c>
      <c r="D4" s="2">
        <v>755</v>
      </c>
      <c r="E4" s="2">
        <v>2305893</v>
      </c>
      <c r="F4" s="2">
        <v>14731</v>
      </c>
      <c r="G4" s="2">
        <v>91702478</v>
      </c>
      <c r="H4" s="4">
        <v>16786413</v>
      </c>
      <c r="I4" s="4">
        <v>5864146</v>
      </c>
      <c r="J4" s="4">
        <v>22650559</v>
      </c>
    </row>
    <row r="5" spans="1:11" x14ac:dyDescent="0.3">
      <c r="A5" s="2" t="s">
        <v>7</v>
      </c>
      <c r="B5" s="2" t="s">
        <v>42</v>
      </c>
      <c r="C5" s="2">
        <v>64518</v>
      </c>
      <c r="D5" s="2">
        <v>4</v>
      </c>
      <c r="E5" s="2">
        <v>64218</v>
      </c>
      <c r="F5" s="2">
        <v>296</v>
      </c>
      <c r="G5" s="2">
        <v>1711947</v>
      </c>
      <c r="H5" s="4">
        <v>680809</v>
      </c>
      <c r="I5" s="4">
        <v>179503</v>
      </c>
      <c r="J5" s="4">
        <v>860312</v>
      </c>
    </row>
    <row r="6" spans="1:11" x14ac:dyDescent="0.3">
      <c r="A6" s="2" t="s">
        <v>8</v>
      </c>
      <c r="B6" s="2" t="s">
        <v>42</v>
      </c>
      <c r="C6" s="2">
        <v>724788</v>
      </c>
      <c r="D6" s="2">
        <v>395</v>
      </c>
      <c r="E6" s="2">
        <v>716405</v>
      </c>
      <c r="F6" s="2">
        <v>7988</v>
      </c>
      <c r="G6" s="2">
        <v>35998752</v>
      </c>
      <c r="H6" s="4">
        <v>9536378</v>
      </c>
      <c r="I6" s="4">
        <v>2045789</v>
      </c>
      <c r="J6" s="4">
        <v>11582167</v>
      </c>
    </row>
    <row r="7" spans="1:11" x14ac:dyDescent="0.3">
      <c r="A7" s="2" t="s">
        <v>9</v>
      </c>
      <c r="B7" s="2" t="s">
        <v>42</v>
      </c>
      <c r="C7" s="2">
        <v>832581</v>
      </c>
      <c r="D7" s="2">
        <v>934</v>
      </c>
      <c r="E7" s="2">
        <v>819388</v>
      </c>
      <c r="F7" s="2">
        <v>12259</v>
      </c>
      <c r="G7" s="2">
        <v>128500364</v>
      </c>
      <c r="H7" s="4">
        <v>21325253</v>
      </c>
      <c r="I7" s="4">
        <v>4080382</v>
      </c>
      <c r="J7" s="4">
        <v>25405635</v>
      </c>
    </row>
    <row r="8" spans="1:11" x14ac:dyDescent="0.3">
      <c r="A8" s="2" t="s">
        <v>10</v>
      </c>
      <c r="B8" s="2" t="s">
        <v>43</v>
      </c>
      <c r="C8" s="2">
        <v>93785</v>
      </c>
      <c r="D8" s="2">
        <v>568</v>
      </c>
      <c r="E8" s="2">
        <v>92052</v>
      </c>
      <c r="F8" s="2">
        <v>1165</v>
      </c>
      <c r="G8" s="2">
        <v>1158040</v>
      </c>
      <c r="H8" s="4">
        <v>664509</v>
      </c>
      <c r="I8" s="4">
        <v>206091</v>
      </c>
      <c r="J8" s="4">
        <v>870600</v>
      </c>
    </row>
    <row r="9" spans="1:11" x14ac:dyDescent="0.3">
      <c r="A9" s="2" t="s">
        <v>11</v>
      </c>
      <c r="B9" s="2" t="s">
        <v>42</v>
      </c>
      <c r="C9" s="2">
        <v>1154179</v>
      </c>
      <c r="D9" s="2">
        <v>861</v>
      </c>
      <c r="E9" s="2">
        <v>1139282</v>
      </c>
      <c r="F9" s="2">
        <v>14036</v>
      </c>
      <c r="G9" s="2">
        <v>32199722</v>
      </c>
      <c r="H9" s="4">
        <v>9719395</v>
      </c>
      <c r="I9" s="4">
        <v>2419105</v>
      </c>
      <c r="J9" s="4">
        <v>12138500</v>
      </c>
    </row>
    <row r="10" spans="1:11" x14ac:dyDescent="0.3">
      <c r="A10" s="2" t="s">
        <v>12</v>
      </c>
      <c r="B10" s="2" t="s">
        <v>44</v>
      </c>
      <c r="C10" s="2">
        <v>11474</v>
      </c>
      <c r="D10" s="2">
        <v>14</v>
      </c>
      <c r="E10" s="2">
        <v>11456</v>
      </c>
      <c r="F10" s="2">
        <v>4</v>
      </c>
      <c r="G10" s="2">
        <v>773997</v>
      </c>
      <c r="H10" s="4">
        <v>568719</v>
      </c>
      <c r="I10" s="4">
        <v>76092</v>
      </c>
      <c r="J10" s="4">
        <v>644811</v>
      </c>
    </row>
    <row r="11" spans="1:11" x14ac:dyDescent="0.3">
      <c r="A11" s="2" t="s">
        <v>13</v>
      </c>
      <c r="B11" s="2" t="s">
        <v>43</v>
      </c>
      <c r="C11" s="2">
        <v>1934009</v>
      </c>
      <c r="D11" s="2">
        <v>4325</v>
      </c>
      <c r="E11" s="2">
        <v>1903423</v>
      </c>
      <c r="F11" s="2">
        <v>26261</v>
      </c>
      <c r="G11" s="2">
        <v>19301096</v>
      </c>
      <c r="H11" s="4">
        <v>7579306</v>
      </c>
      <c r="I11" s="4">
        <v>2802327</v>
      </c>
      <c r="J11" s="4">
        <v>10381633</v>
      </c>
    </row>
    <row r="12" spans="1:11" x14ac:dyDescent="0.3">
      <c r="A12" s="2" t="s">
        <v>14</v>
      </c>
      <c r="B12" s="2" t="s">
        <v>44</v>
      </c>
      <c r="C12" s="2">
        <v>248540</v>
      </c>
      <c r="D12" s="2">
        <v>982</v>
      </c>
      <c r="E12" s="2">
        <v>243720</v>
      </c>
      <c r="F12" s="2">
        <v>3838</v>
      </c>
      <c r="G12" s="2">
        <v>1521992</v>
      </c>
      <c r="H12" s="4">
        <v>1073972</v>
      </c>
      <c r="I12" s="4">
        <v>282473</v>
      </c>
      <c r="J12" s="4">
        <v>1356445</v>
      </c>
    </row>
    <row r="13" spans="1:11" x14ac:dyDescent="0.3">
      <c r="A13" s="2" t="s">
        <v>15</v>
      </c>
      <c r="B13" s="2" t="s">
        <v>44</v>
      </c>
      <c r="C13" s="2">
        <v>1231483</v>
      </c>
      <c r="D13" s="2">
        <v>2914</v>
      </c>
      <c r="E13" s="2">
        <v>1217623</v>
      </c>
      <c r="F13" s="2">
        <v>10946</v>
      </c>
      <c r="G13" s="2">
        <v>70400153</v>
      </c>
      <c r="H13" s="4">
        <v>26008632</v>
      </c>
      <c r="I13" s="4">
        <v>8437176</v>
      </c>
      <c r="J13" s="4">
        <v>34445808</v>
      </c>
    </row>
    <row r="14" spans="1:11" x14ac:dyDescent="0.3">
      <c r="A14" s="2" t="s">
        <v>16</v>
      </c>
      <c r="B14" s="2" t="s">
        <v>43</v>
      </c>
      <c r="C14" s="2">
        <v>1015501</v>
      </c>
      <c r="D14" s="2">
        <v>2655</v>
      </c>
      <c r="E14" s="2">
        <v>1002222</v>
      </c>
      <c r="F14" s="2">
        <v>10624</v>
      </c>
      <c r="G14" s="2">
        <v>28900667</v>
      </c>
      <c r="H14" s="4">
        <v>9721455</v>
      </c>
      <c r="I14" s="4">
        <v>2712313</v>
      </c>
      <c r="J14" s="4">
        <v>12433768</v>
      </c>
    </row>
    <row r="15" spans="1:11" x14ac:dyDescent="0.3">
      <c r="A15" s="2" t="s">
        <v>17</v>
      </c>
      <c r="B15" s="2" t="s">
        <v>43</v>
      </c>
      <c r="C15" s="2">
        <v>286061</v>
      </c>
      <c r="D15" s="2">
        <v>507</v>
      </c>
      <c r="E15" s="2">
        <v>281413</v>
      </c>
      <c r="F15" s="2">
        <v>4141</v>
      </c>
      <c r="G15" s="2">
        <v>7503010</v>
      </c>
      <c r="H15" s="4">
        <v>4083812</v>
      </c>
      <c r="I15" s="4">
        <v>1321716</v>
      </c>
      <c r="J15" s="4">
        <v>5405528</v>
      </c>
    </row>
    <row r="16" spans="1:11" x14ac:dyDescent="0.3">
      <c r="A16" s="2" t="s">
        <v>18</v>
      </c>
      <c r="B16" s="2" t="s">
        <v>43</v>
      </c>
      <c r="C16" s="2">
        <v>455006</v>
      </c>
      <c r="D16" s="2">
        <v>447</v>
      </c>
      <c r="E16" s="2">
        <v>449803</v>
      </c>
      <c r="F16" s="2">
        <v>4756</v>
      </c>
      <c r="G16" s="2">
        <v>14999397</v>
      </c>
      <c r="H16" s="4">
        <v>5094719</v>
      </c>
      <c r="I16" s="4">
        <v>1392453</v>
      </c>
      <c r="J16" s="4">
        <v>6487172</v>
      </c>
    </row>
    <row r="17" spans="1:10" x14ac:dyDescent="0.3">
      <c r="A17" s="2" t="s">
        <v>19</v>
      </c>
      <c r="B17" s="2" t="s">
        <v>42</v>
      </c>
      <c r="C17" s="2">
        <v>435858</v>
      </c>
      <c r="D17" s="2">
        <v>284</v>
      </c>
      <c r="E17" s="2">
        <v>430254</v>
      </c>
      <c r="F17" s="2">
        <v>5320</v>
      </c>
      <c r="G17" s="2">
        <v>40100376</v>
      </c>
      <c r="H17" s="4">
        <v>8040727</v>
      </c>
      <c r="I17" s="4">
        <v>1898453</v>
      </c>
      <c r="J17" s="4">
        <v>9939180</v>
      </c>
    </row>
    <row r="18" spans="1:10" x14ac:dyDescent="0.3">
      <c r="A18" s="2" t="s">
        <v>20</v>
      </c>
      <c r="B18" s="2" t="s">
        <v>41</v>
      </c>
      <c r="C18" s="2">
        <v>3968365</v>
      </c>
      <c r="D18" s="2">
        <v>5707</v>
      </c>
      <c r="E18" s="2">
        <v>3922541</v>
      </c>
      <c r="F18" s="2">
        <v>40117</v>
      </c>
      <c r="G18" s="2">
        <v>69599762</v>
      </c>
      <c r="H18" s="4">
        <v>24961662</v>
      </c>
      <c r="I18" s="4">
        <v>6996807</v>
      </c>
      <c r="J18" s="4">
        <v>31958469</v>
      </c>
    </row>
    <row r="19" spans="1:10" x14ac:dyDescent="0.3">
      <c r="A19" s="2" t="s">
        <v>21</v>
      </c>
      <c r="B19" s="2" t="s">
        <v>41</v>
      </c>
      <c r="C19" s="2">
        <v>6634722</v>
      </c>
      <c r="D19" s="2">
        <v>28860</v>
      </c>
      <c r="E19" s="2">
        <v>6535869</v>
      </c>
      <c r="F19" s="2">
        <v>69993</v>
      </c>
      <c r="G19" s="2">
        <v>34698876</v>
      </c>
      <c r="H19" s="4">
        <v>14882725</v>
      </c>
      <c r="I19" s="4">
        <v>6231751</v>
      </c>
      <c r="J19" s="4">
        <v>21114476</v>
      </c>
    </row>
    <row r="20" spans="1:10" x14ac:dyDescent="0.3">
      <c r="A20" s="2" t="s">
        <v>22</v>
      </c>
      <c r="B20" s="2" t="s">
        <v>43</v>
      </c>
      <c r="C20" s="2">
        <v>28411</v>
      </c>
      <c r="D20" s="2">
        <v>78</v>
      </c>
      <c r="E20" s="2">
        <v>28105</v>
      </c>
      <c r="F20" s="2">
        <v>228</v>
      </c>
      <c r="G20" s="2">
        <v>290492</v>
      </c>
      <c r="H20" s="4">
        <v>187861</v>
      </c>
      <c r="I20" s="4">
        <v>68768</v>
      </c>
      <c r="J20" s="4">
        <v>256629</v>
      </c>
    </row>
    <row r="21" spans="1:10" x14ac:dyDescent="0.3">
      <c r="A21" s="2" t="s">
        <v>23</v>
      </c>
      <c r="B21" s="2" t="s">
        <v>41</v>
      </c>
      <c r="C21" s="2">
        <v>11408</v>
      </c>
      <c r="D21" s="2">
        <v>3</v>
      </c>
      <c r="E21" s="2">
        <v>11353</v>
      </c>
      <c r="F21" s="2">
        <v>52</v>
      </c>
      <c r="G21" s="2">
        <v>66001</v>
      </c>
      <c r="H21" s="4">
        <v>50596</v>
      </c>
      <c r="I21" s="4">
        <v>16436</v>
      </c>
      <c r="J21" s="4">
        <v>67032</v>
      </c>
    </row>
    <row r="22" spans="1:10" x14ac:dyDescent="0.3">
      <c r="A22" s="2" t="s">
        <v>24</v>
      </c>
      <c r="B22" s="2" t="s">
        <v>44</v>
      </c>
      <c r="C22" s="2">
        <v>1044243</v>
      </c>
      <c r="D22" s="2">
        <v>490</v>
      </c>
      <c r="E22" s="2">
        <v>1033012</v>
      </c>
      <c r="F22" s="2">
        <v>10741</v>
      </c>
      <c r="G22" s="2">
        <v>85002417</v>
      </c>
      <c r="H22" s="4">
        <v>28300633</v>
      </c>
      <c r="I22" s="4">
        <v>5400063</v>
      </c>
      <c r="J22" s="4">
        <v>33700696</v>
      </c>
    </row>
    <row r="23" spans="1:10" x14ac:dyDescent="0.3">
      <c r="A23" s="2" t="s">
        <v>25</v>
      </c>
      <c r="B23" s="2" t="s">
        <v>44</v>
      </c>
      <c r="C23" s="2">
        <v>7972474</v>
      </c>
      <c r="D23" s="2">
        <v>25735</v>
      </c>
      <c r="E23" s="2">
        <v>7798817</v>
      </c>
      <c r="F23" s="2">
        <v>147922</v>
      </c>
      <c r="G23" s="2">
        <v>124904071</v>
      </c>
      <c r="H23" s="4">
        <v>33939611</v>
      </c>
      <c r="I23" s="4">
        <v>11535313</v>
      </c>
      <c r="J23" s="4">
        <v>45474924</v>
      </c>
    </row>
    <row r="24" spans="1:10" x14ac:dyDescent="0.3">
      <c r="A24" s="2" t="s">
        <v>26</v>
      </c>
      <c r="B24" s="2" t="s">
        <v>42</v>
      </c>
      <c r="C24" s="2">
        <v>137266</v>
      </c>
      <c r="D24" s="2">
        <v>18</v>
      </c>
      <c r="E24" s="2">
        <v>135128</v>
      </c>
      <c r="F24" s="2">
        <v>2120</v>
      </c>
      <c r="G24" s="2">
        <v>3436948</v>
      </c>
      <c r="H24" s="4">
        <v>1135285</v>
      </c>
      <c r="I24" s="4">
        <v>222872</v>
      </c>
      <c r="J24" s="4">
        <v>1358157</v>
      </c>
    </row>
    <row r="25" spans="1:10" x14ac:dyDescent="0.3">
      <c r="A25" s="2" t="s">
        <v>27</v>
      </c>
      <c r="B25" s="2" t="s">
        <v>42</v>
      </c>
      <c r="C25" s="2">
        <v>93947</v>
      </c>
      <c r="D25" s="2">
        <v>65</v>
      </c>
      <c r="E25" s="2">
        <v>92288</v>
      </c>
      <c r="F25" s="2">
        <v>1594</v>
      </c>
      <c r="G25" s="2">
        <v>3772103</v>
      </c>
      <c r="H25" s="4">
        <v>912096</v>
      </c>
      <c r="I25" s="4">
        <v>211646</v>
      </c>
      <c r="J25" s="4">
        <v>1123742</v>
      </c>
    </row>
    <row r="26" spans="1:10" x14ac:dyDescent="0.3">
      <c r="A26" s="2" t="s">
        <v>28</v>
      </c>
      <c r="B26" s="2" t="s">
        <v>42</v>
      </c>
      <c r="C26" s="2">
        <v>229048</v>
      </c>
      <c r="D26" s="2">
        <v>261</v>
      </c>
      <c r="E26" s="2">
        <v>228084</v>
      </c>
      <c r="F26" s="2">
        <v>703</v>
      </c>
      <c r="G26" s="2">
        <v>1308967</v>
      </c>
      <c r="H26" s="4">
        <v>647051</v>
      </c>
      <c r="I26" s="4">
        <v>200035</v>
      </c>
      <c r="J26" s="4">
        <v>847086</v>
      </c>
    </row>
    <row r="27" spans="1:10" x14ac:dyDescent="0.3">
      <c r="A27" s="2" t="s">
        <v>29</v>
      </c>
      <c r="B27" s="2" t="s">
        <v>42</v>
      </c>
      <c r="C27" s="2">
        <v>35507</v>
      </c>
      <c r="D27" s="2">
        <v>2</v>
      </c>
      <c r="E27" s="2">
        <v>34744</v>
      </c>
      <c r="F27" s="2">
        <v>761</v>
      </c>
      <c r="G27" s="2">
        <v>2073074</v>
      </c>
      <c r="H27" s="4">
        <v>625565</v>
      </c>
      <c r="I27" s="4">
        <v>154008</v>
      </c>
      <c r="J27" s="4">
        <v>779573</v>
      </c>
    </row>
    <row r="28" spans="1:10" x14ac:dyDescent="0.3">
      <c r="A28" s="2" t="s">
        <v>30</v>
      </c>
      <c r="B28" s="2" t="s">
        <v>42</v>
      </c>
      <c r="C28" s="2">
        <v>1289602</v>
      </c>
      <c r="D28" s="2">
        <v>627</v>
      </c>
      <c r="E28" s="2">
        <v>1279849</v>
      </c>
      <c r="F28" s="2">
        <v>9126</v>
      </c>
      <c r="G28" s="2">
        <v>47099270</v>
      </c>
      <c r="H28" s="4">
        <v>13209524</v>
      </c>
      <c r="I28" s="4">
        <v>4041771</v>
      </c>
      <c r="J28" s="4">
        <v>17251295</v>
      </c>
    </row>
    <row r="29" spans="1:10" x14ac:dyDescent="0.3">
      <c r="A29" s="2" t="s">
        <v>31</v>
      </c>
      <c r="B29" s="2" t="s">
        <v>41</v>
      </c>
      <c r="C29" s="2">
        <v>166438</v>
      </c>
      <c r="D29" s="2">
        <v>304</v>
      </c>
      <c r="E29" s="2">
        <v>164172</v>
      </c>
      <c r="F29" s="2">
        <v>1962</v>
      </c>
      <c r="G29" s="2">
        <v>1646050</v>
      </c>
      <c r="H29" s="4">
        <v>585119</v>
      </c>
      <c r="I29" s="4">
        <v>148023</v>
      </c>
      <c r="J29" s="4">
        <v>733142</v>
      </c>
    </row>
    <row r="30" spans="1:10" x14ac:dyDescent="0.3">
      <c r="A30" s="2" t="s">
        <v>32</v>
      </c>
      <c r="B30" s="2" t="s">
        <v>43</v>
      </c>
      <c r="C30" s="2">
        <v>762755</v>
      </c>
      <c r="D30" s="2">
        <v>1079</v>
      </c>
      <c r="E30" s="2">
        <v>743903</v>
      </c>
      <c r="F30" s="2">
        <v>17773</v>
      </c>
      <c r="G30" s="2">
        <v>30501026</v>
      </c>
      <c r="H30" s="4">
        <v>7909863</v>
      </c>
      <c r="I30" s="4">
        <v>2089873</v>
      </c>
      <c r="J30" s="4">
        <v>9999736</v>
      </c>
    </row>
    <row r="31" spans="1:10" x14ac:dyDescent="0.3">
      <c r="A31" s="2" t="s">
        <v>33</v>
      </c>
      <c r="B31" s="2" t="s">
        <v>44</v>
      </c>
      <c r="C31" s="2">
        <v>1288328</v>
      </c>
      <c r="D31" s="2">
        <v>939</v>
      </c>
      <c r="E31" s="2">
        <v>1277825</v>
      </c>
      <c r="F31" s="2">
        <v>9564</v>
      </c>
      <c r="G31" s="2">
        <v>79502477</v>
      </c>
      <c r="H31" s="4">
        <v>26006350</v>
      </c>
      <c r="I31" s="4">
        <v>7953805</v>
      </c>
      <c r="J31" s="4">
        <v>33960155</v>
      </c>
    </row>
    <row r="32" spans="1:10" x14ac:dyDescent="0.3">
      <c r="A32" s="2" t="s">
        <v>34</v>
      </c>
      <c r="B32" s="2" t="s">
        <v>42</v>
      </c>
      <c r="C32" s="2">
        <v>39224</v>
      </c>
      <c r="D32" s="2">
        <v>26</v>
      </c>
      <c r="E32" s="2">
        <v>38744</v>
      </c>
      <c r="F32" s="2">
        <v>454</v>
      </c>
      <c r="G32" s="2">
        <v>658019</v>
      </c>
      <c r="H32" s="4">
        <v>494904</v>
      </c>
      <c r="I32" s="4">
        <v>149858</v>
      </c>
      <c r="J32" s="4">
        <v>644762</v>
      </c>
    </row>
    <row r="33" spans="1:10" x14ac:dyDescent="0.3">
      <c r="A33" s="2" t="s">
        <v>35</v>
      </c>
      <c r="B33" s="2" t="s">
        <v>41</v>
      </c>
      <c r="C33" s="2">
        <v>3473116</v>
      </c>
      <c r="D33" s="2">
        <v>10033</v>
      </c>
      <c r="E33" s="2">
        <v>3425057</v>
      </c>
      <c r="F33" s="2">
        <v>38026</v>
      </c>
      <c r="G33" s="2">
        <v>83697770</v>
      </c>
      <c r="H33" s="4">
        <v>19764021</v>
      </c>
      <c r="I33" s="4">
        <v>4438905</v>
      </c>
      <c r="J33" s="4">
        <v>24202926</v>
      </c>
    </row>
    <row r="34" spans="1:10" x14ac:dyDescent="0.3">
      <c r="A34" s="2" t="s">
        <v>36</v>
      </c>
      <c r="B34" s="2" t="s">
        <v>41</v>
      </c>
      <c r="C34" s="2">
        <v>800476</v>
      </c>
      <c r="D34" s="2">
        <v>4421</v>
      </c>
      <c r="E34" s="2">
        <v>791944</v>
      </c>
      <c r="F34" s="2">
        <v>4111</v>
      </c>
      <c r="G34" s="2">
        <v>38157311</v>
      </c>
      <c r="H34" s="4">
        <v>11446097</v>
      </c>
      <c r="I34" s="4">
        <v>3649818</v>
      </c>
      <c r="J34" s="4">
        <v>15095915</v>
      </c>
    </row>
    <row r="35" spans="1:10" x14ac:dyDescent="0.3">
      <c r="A35" s="2" t="s">
        <v>37</v>
      </c>
      <c r="B35" s="2" t="s">
        <v>42</v>
      </c>
      <c r="C35" s="2">
        <v>100901</v>
      </c>
      <c r="D35" s="2">
        <v>7</v>
      </c>
      <c r="E35" s="2">
        <v>99971</v>
      </c>
      <c r="F35" s="2">
        <v>923</v>
      </c>
      <c r="G35" s="2">
        <v>4184959</v>
      </c>
      <c r="H35" s="4">
        <v>2393111</v>
      </c>
      <c r="I35" s="4">
        <v>793578</v>
      </c>
      <c r="J35" s="4">
        <v>3186689</v>
      </c>
    </row>
    <row r="36" spans="1:10" x14ac:dyDescent="0.3">
      <c r="A36" s="2" t="s">
        <v>38</v>
      </c>
      <c r="B36" s="2" t="s">
        <v>43</v>
      </c>
      <c r="C36" s="2">
        <v>2090050</v>
      </c>
      <c r="D36" s="2">
        <v>3541</v>
      </c>
      <c r="E36" s="2">
        <v>2062971</v>
      </c>
      <c r="F36" s="2">
        <v>23538</v>
      </c>
      <c r="G36" s="2">
        <v>231502578</v>
      </c>
      <c r="H36" s="4">
        <v>44001463</v>
      </c>
      <c r="I36" s="4">
        <v>8141787</v>
      </c>
      <c r="J36" s="4">
        <v>52143250</v>
      </c>
    </row>
    <row r="37" spans="1:10" x14ac:dyDescent="0.3">
      <c r="A37" s="2" t="s">
        <v>39</v>
      </c>
      <c r="B37" s="2" t="s">
        <v>43</v>
      </c>
      <c r="C37" s="2">
        <v>438663</v>
      </c>
      <c r="D37" s="2">
        <v>787</v>
      </c>
      <c r="E37" s="2">
        <v>430180</v>
      </c>
      <c r="F37" s="2">
        <v>7696</v>
      </c>
      <c r="G37" s="2">
        <v>11700099</v>
      </c>
      <c r="H37" s="4">
        <v>4768700</v>
      </c>
      <c r="I37" s="4">
        <v>1503537</v>
      </c>
      <c r="J37" s="4">
        <v>6272237</v>
      </c>
    </row>
    <row r="38" spans="1:10" x14ac:dyDescent="0.3">
      <c r="A38" s="2" t="s">
        <v>40</v>
      </c>
      <c r="B38" s="2" t="s">
        <v>42</v>
      </c>
      <c r="C38" s="2">
        <v>2027901</v>
      </c>
      <c r="D38" s="2">
        <v>5885</v>
      </c>
      <c r="E38" s="2">
        <v>2000798</v>
      </c>
      <c r="F38" s="2">
        <v>21218</v>
      </c>
      <c r="G38" s="2">
        <v>100896618</v>
      </c>
      <c r="H38" s="4">
        <v>22062392</v>
      </c>
      <c r="I38" s="4">
        <v>8909045</v>
      </c>
      <c r="J38" s="4">
        <v>30971437</v>
      </c>
    </row>
    <row r="39" spans="1:10" x14ac:dyDescent="0.3">
      <c r="A39" s="1" t="s">
        <v>50</v>
      </c>
      <c r="B39" s="2"/>
      <c r="C39" s="2">
        <v>43452164</v>
      </c>
      <c r="D39" s="2">
        <v>104555</v>
      </c>
      <c r="E39" s="2">
        <v>42822493</v>
      </c>
      <c r="F39" s="2">
        <v>525116</v>
      </c>
      <c r="G39" s="2">
        <f>SUM(G3:G38)</f>
        <v>1429869880</v>
      </c>
      <c r="H39" s="2">
        <f t="shared" ref="H39:J39" si="0">SUM(H3:H38)</f>
        <v>379381301</v>
      </c>
      <c r="I39" s="2">
        <f t="shared" si="0"/>
        <v>106668882</v>
      </c>
      <c r="J39" s="2">
        <f t="shared" si="0"/>
        <v>486050183</v>
      </c>
    </row>
    <row r="40" spans="1:10" x14ac:dyDescent="0.3">
      <c r="A40" s="2"/>
      <c r="B40" s="2"/>
      <c r="C40" s="2"/>
      <c r="D40" s="2"/>
      <c r="E40" s="2"/>
      <c r="F40" s="2"/>
      <c r="G4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cases</vt:lpstr>
      <vt:lpstr>population</vt:lpstr>
      <vt:lpstr>ACTIVE</vt:lpstr>
      <vt:lpstr>DashBoard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Sruti Kumari</dc:creator>
  <cp:lastModifiedBy>Sruti Kumari</cp:lastModifiedBy>
  <dcterms:created xsi:type="dcterms:W3CDTF">2026-06-15T11:00:38Z</dcterms:created>
  <dcterms:modified xsi:type="dcterms:W3CDTF">2026-06-16T18:54:08Z</dcterms:modified>
</cp:coreProperties>
</file>